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Products" sheetId="1" state="visible" r:id="rId3"/>
    <sheet name="Crafted In-House" sheetId="2" state="visible" r:id="rId4"/>
    <sheet name="Industry Boxes" sheetId="3" state="visible" r:id="rId5"/>
    <sheet name="Box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<sst xmlns="http://schemas.openxmlformats.org/spreadsheetml/2006/main" count="817" uniqueCount="356">
  <si>
    <t xml:space="preserve">PRODUCTS MASTER SHEET — v1 (Fresh Build)</t>
  </si>
  <si>
    <t xml:space="preserve">Replaces old TGG master catalogue — zero products carried over. Blue cells = edit freely (costs, prices, MOQ). Black = formulas. Green = linked from Crafted sheet.</t>
  </si>
  <si>
    <t xml:space="preserve">Example row provided in each category — adjust real costs after vendor quotes.</t>
  </si>
  <si>
    <t xml:space="preserve">SKU</t>
  </si>
  <si>
    <t xml:space="preserve">Product</t>
  </si>
  <si>
    <t xml:space="preserve">Category</t>
  </si>
  <si>
    <t xml:space="preserve">Source</t>
  </si>
  <si>
    <t xml:space="preserve">Unit Cost (₹)</t>
  </si>
  <si>
    <t xml:space="preserve">Selling Price (₹)</t>
  </si>
  <si>
    <t xml:space="preserve">Margin %</t>
  </si>
  <si>
    <t xml:space="preserve">MOQ</t>
  </si>
  <si>
    <t xml:space="preserve">Lead (days)</t>
  </si>
  <si>
    <t xml:space="preserve">Best For</t>
  </si>
  <si>
    <t xml:space="preserve">Notes</t>
  </si>
  <si>
    <t xml:space="preserve">CRAFTED IN-HOUSE</t>
  </si>
  <si>
    <t xml:space="preserve">CRF-001</t>
  </si>
  <si>
    <t xml:space="preserve">Velvet-Lined Wooden Keepsake Tray (Small)</t>
  </si>
  <si>
    <t xml:space="preserve">Crafted In-House</t>
  </si>
  <si>
    <t xml:space="preserve">In-house</t>
  </si>
  <si>
    <t xml:space="preserve">CXO gifting, Finance</t>
  </si>
  <si>
    <t xml:space="preserve">Signature hero craft</t>
  </si>
  <si>
    <t xml:space="preserve">CRF-002</t>
  </si>
  <si>
    <t xml:space="preserve">Velvet-Lined Wooden Keepsake Tray (Large)</t>
  </si>
  <si>
    <t xml:space="preserve">CXO / investor boxes</t>
  </si>
  <si>
    <t xml:space="preserve">Engravable lid option</t>
  </si>
  <si>
    <t xml:space="preserve">CRF-003</t>
  </si>
  <si>
    <t xml:space="preserve">Hand-Poured Soy Candle 120g (Custom Scent)</t>
  </si>
  <si>
    <t xml:space="preserve">All industries</t>
  </si>
  <si>
    <t xml:space="preserve">Brand-colour wax option</t>
  </si>
  <si>
    <t xml:space="preserve">CRF-004</t>
  </si>
  <si>
    <t xml:space="preserve">Hand-Poured Soy Candle 220g (Amber Jar)</t>
  </si>
  <si>
    <t xml:space="preserve">Premium tiers</t>
  </si>
  <si>
    <t xml:space="preserve">Custom label</t>
  </si>
  <si>
    <t xml:space="preserve">CRF-005</t>
  </si>
  <si>
    <t xml:space="preserve">Resin Coaster Set of 2 (Brand Colours)</t>
  </si>
  <si>
    <t xml:space="preserve">Tech, Marketing</t>
  </si>
  <si>
    <t xml:space="preserve">Logo inlay possible</t>
  </si>
  <si>
    <t xml:space="preserve">CRF-006</t>
  </si>
  <si>
    <t xml:space="preserve">Hand-Lettered Note Card + Wax Seal</t>
  </si>
  <si>
    <t xml:space="preserve">Every box</t>
  </si>
  <si>
    <t xml:space="preserve">Your handwriting = moat</t>
  </si>
  <si>
    <t xml:space="preserve">CRF-007</t>
  </si>
  <si>
    <t xml:space="preserve">Dried-Flower Mini Frame</t>
  </si>
  <si>
    <t xml:space="preserve">HR milestones, EdTech</t>
  </si>
  <si>
    <t xml:space="preserve">Lightweight, ships flat</t>
  </si>
  <si>
    <t xml:space="preserve">CRF-008</t>
  </si>
  <si>
    <t xml:space="preserve">Potpourri Sachet in Block-Print Pouch</t>
  </si>
  <si>
    <t xml:space="preserve">Filler / aroma layer</t>
  </si>
  <si>
    <t xml:space="preserve">CRF-009</t>
  </si>
  <si>
    <t xml:space="preserve">Hand-Tied Fabric Gift Wrap (Furoshiki Style)</t>
  </si>
  <si>
    <t xml:space="preserve">Premium wrap upgrade</t>
  </si>
  <si>
    <t xml:space="preserve">Reusable = eco story</t>
  </si>
  <si>
    <t xml:space="preserve">CRF-010</t>
  </si>
  <si>
    <t xml:space="preserve">Hand-Painted Terracotta Diya Pair</t>
  </si>
  <si>
    <t xml:space="preserve">Festive boxes</t>
  </si>
  <si>
    <t xml:space="preserve">Diwali bestseller</t>
  </si>
  <si>
    <t xml:space="preserve">CRF-011</t>
  </si>
  <si>
    <t xml:space="preserve">Custom Ribbon + Brand Tag Finishing Set</t>
  </si>
  <si>
    <t xml:space="preserve">In brand colours</t>
  </si>
  <si>
    <t xml:space="preserve">CRF-012</t>
  </si>
  <si>
    <t xml:space="preserve">Mini Gratitude Journal (Hand-Bound)</t>
  </si>
  <si>
    <t xml:space="preserve">HR, Education</t>
  </si>
  <si>
    <t xml:space="preserve">Handmade paper cover</t>
  </si>
  <si>
    <t xml:space="preserve">DRINKWARE</t>
  </si>
  <si>
    <t xml:space="preserve">DRK-001</t>
  </si>
  <si>
    <t xml:space="preserve">Double-Wall Insulated Steel Bottle 750ml</t>
  </si>
  <si>
    <t xml:space="preserve">Drinkware</t>
  </si>
  <si>
    <t xml:space="preserve">Vendor</t>
  </si>
  <si>
    <t xml:space="preserve">Manufacturing, Tech</t>
  </si>
  <si>
    <t xml:space="preserve">Laser engraving</t>
  </si>
  <si>
    <t xml:space="preserve">DRK-002</t>
  </si>
  <si>
    <t xml:space="preserve">Ceramic Mug (Matte, Brand Colour)</t>
  </si>
  <si>
    <t xml:space="preserve">EdTech, HR</t>
  </si>
  <si>
    <t xml:space="preserve">Sleeve print</t>
  </si>
  <si>
    <t xml:space="preserve">DRK-003</t>
  </si>
  <si>
    <t xml:space="preserve">Glass Sipper with Bamboo Lid</t>
  </si>
  <si>
    <t xml:space="preserve">Wellness tiers</t>
  </si>
  <si>
    <t xml:space="preserve">DRK-004</t>
  </si>
  <si>
    <t xml:space="preserve">Copper Water Bottle (Hammered)</t>
  </si>
  <si>
    <t xml:space="preserve">Artisan</t>
  </si>
  <si>
    <t xml:space="preserve">Finance, CXO</t>
  </si>
  <si>
    <t xml:space="preserve">Ayurveda story</t>
  </si>
  <si>
    <t xml:space="preserve">DRK-005</t>
  </si>
  <si>
    <t xml:space="preserve">Cutting Chai Glass Set of 2 + Kettle Mini</t>
  </si>
  <si>
    <t xml:space="preserve">Fun/team boxes</t>
  </si>
  <si>
    <t xml:space="preserve">Chai nostalgia</t>
  </si>
  <si>
    <t xml:space="preserve">DRK-006</t>
  </si>
  <si>
    <t xml:space="preserve">Travel French Press 350ml</t>
  </si>
  <si>
    <t xml:space="preserve">Tech, CS heads</t>
  </si>
  <si>
    <t xml:space="preserve">GOURMET</t>
  </si>
  <si>
    <t xml:space="preserve">GRM-001</t>
  </si>
  <si>
    <t xml:space="preserve">Artisan Dry Fruit Box 200g (Trail Mix)</t>
  </si>
  <si>
    <t xml:space="preserve">Gourmet</t>
  </si>
  <si>
    <t xml:space="preserve">6-mo shelf life</t>
  </si>
  <si>
    <t xml:space="preserve">GRM-002</t>
  </si>
  <si>
    <t xml:space="preserve">Single-Estate Assam Tea Tin 100g</t>
  </si>
  <si>
    <t xml:space="preserve">Estate direct</t>
  </si>
  <si>
    <t xml:space="preserve">Finance, Education</t>
  </si>
  <si>
    <t xml:space="preserve">GI-tag story</t>
  </si>
  <si>
    <t xml:space="preserve">GRM-003</t>
  </si>
  <si>
    <t xml:space="preserve">Filter Coffee Powder 250g (South Estate)</t>
  </si>
  <si>
    <t xml:space="preserve">Tech</t>
  </si>
  <si>
    <t xml:space="preserve">GRM-004</t>
  </si>
  <si>
    <t xml:space="preserve">Dark Chocolate Bar 70% (Bean-to-Bar, Indian)</t>
  </si>
  <si>
    <t xml:space="preserve">Vegan option</t>
  </si>
  <si>
    <t xml:space="preserve">GRM-005</t>
  </si>
  <si>
    <t xml:space="preserve">Millet Cookie Jar 150g</t>
  </si>
  <si>
    <t xml:space="preserve">Wellness, HR</t>
  </si>
  <si>
    <t xml:space="preserve">Healthy angle</t>
  </si>
  <si>
    <t xml:space="preserve">GRM-006</t>
  </si>
  <si>
    <t xml:space="preserve">Raw Forest Honey 250g</t>
  </si>
  <si>
    <t xml:space="preserve">FPO/SHG</t>
  </si>
  <si>
    <t xml:space="preserve">Farmer story</t>
  </si>
  <si>
    <t xml:space="preserve">GRM-007</t>
  </si>
  <si>
    <t xml:space="preserve">Chai Masala + Saffron Mini Duo</t>
  </si>
  <si>
    <t xml:space="preserve">Festive</t>
  </si>
  <si>
    <t xml:space="preserve">GRM-008</t>
  </si>
  <si>
    <t xml:space="preserve">Gourmet Makhana Duo (2 flavours)</t>
  </si>
  <si>
    <t xml:space="preserve">Manufacturing teams</t>
  </si>
  <si>
    <t xml:space="preserve">DESK &amp; STATIONERY</t>
  </si>
  <si>
    <t xml:space="preserve">DSK-001</t>
  </si>
  <si>
    <t xml:space="preserve">A5 Vegan-Leather Notebook (Debossed Logo)</t>
  </si>
  <si>
    <t xml:space="preserve">Desk &amp; Stationery</t>
  </si>
  <si>
    <t xml:space="preserve">DSK-002</t>
  </si>
  <si>
    <t xml:space="preserve">Handmade-Paper Notebook (Seed Cover)</t>
  </si>
  <si>
    <t xml:space="preserve">Education, ESG</t>
  </si>
  <si>
    <t xml:space="preserve">Plantable cover</t>
  </si>
  <si>
    <t xml:space="preserve">DSK-003</t>
  </si>
  <si>
    <t xml:space="preserve">Metal Pen (Gunmetal, Engraved)</t>
  </si>
  <si>
    <t xml:space="preserve">Finance</t>
  </si>
  <si>
    <t xml:space="preserve">DSK-004</t>
  </si>
  <si>
    <t xml:space="preserve">Brass Paperweight (Geometric)</t>
  </si>
  <si>
    <t xml:space="preserve">Moradabad craft</t>
  </si>
  <si>
    <t xml:space="preserve">DSK-005</t>
  </si>
  <si>
    <t xml:space="preserve">Desk Plant (Jade/Succulent) in Ceramic Pot</t>
  </si>
  <si>
    <t xml:space="preserve">Local nursery</t>
  </si>
  <si>
    <t xml:space="preserve">HR, EdTech</t>
  </si>
  <si>
    <t xml:space="preserve">Local delivery only</t>
  </si>
  <si>
    <t xml:space="preserve">DSK-006</t>
  </si>
  <si>
    <t xml:space="preserve">Wooden Desk Organiser (2-Slot + Phone Dock)</t>
  </si>
  <si>
    <t xml:space="preserve">Tech, Manufacturing</t>
  </si>
  <si>
    <t xml:space="preserve">Channapatna option</t>
  </si>
  <si>
    <t xml:space="preserve">DSK-007</t>
  </si>
  <si>
    <t xml:space="preserve">Sticky-Note + Flag Kit (Branded)</t>
  </si>
  <si>
    <t xml:space="preserve">Education</t>
  </si>
  <si>
    <t xml:space="preserve">DSK-008</t>
  </si>
  <si>
    <t xml:space="preserve">Bookmark (Brass, Etched)</t>
  </si>
  <si>
    <t xml:space="preserve">Pairs with books</t>
  </si>
  <si>
    <t xml:space="preserve">TECH ACCESSORIES</t>
  </si>
  <si>
    <t xml:space="preserve">TEC-001</t>
  </si>
  <si>
    <t xml:space="preserve">10W Wireless Charging Pad (Fabric Top)</t>
  </si>
  <si>
    <t xml:space="preserve">Tech Accessories</t>
  </si>
  <si>
    <t xml:space="preserve">Tech, Finance</t>
  </si>
  <si>
    <t xml:space="preserve">BIS-compliant vendor</t>
  </si>
  <si>
    <t xml:space="preserve">TEC-002</t>
  </si>
  <si>
    <t xml:space="preserve">Cable Organiser Roll (Vegan Leather)</t>
  </si>
  <si>
    <t xml:space="preserve">TEC-003</t>
  </si>
  <si>
    <t xml:space="preserve">Laptop Sleeve 14in (Felt + Button)</t>
  </si>
  <si>
    <t xml:space="preserve">Tech, EdTech</t>
  </si>
  <si>
    <t xml:space="preserve">TEC-004</t>
  </si>
  <si>
    <t xml:space="preserve">Webcam Cover + Phone Stand Mini Kit</t>
  </si>
  <si>
    <t xml:space="preserve">Tech onboarding</t>
  </si>
  <si>
    <t xml:space="preserve">TEC-005</t>
  </si>
  <si>
    <t xml:space="preserve">Desk Mat (PU, Stitched Edge, 60x30)</t>
  </si>
  <si>
    <t xml:space="preserve">Logo deboss corner</t>
  </si>
  <si>
    <t xml:space="preserve">TEC-006</t>
  </si>
  <si>
    <t xml:space="preserve">Sticker Sheet (Die-Cut, Brand Pack of 8)</t>
  </si>
  <si>
    <t xml:space="preserve">Print partner</t>
  </si>
  <si>
    <t xml:space="preserve">EdTech, Tech</t>
  </si>
  <si>
    <t xml:space="preserve">Laptop culture</t>
  </si>
  <si>
    <t xml:space="preserve">WELLNESS</t>
  </si>
  <si>
    <t xml:space="preserve">WEL-001</t>
  </si>
  <si>
    <t xml:space="preserve">Essential Oil Roll-On (De-Stress Blend)</t>
  </si>
  <si>
    <t xml:space="preserve">Wellness</t>
  </si>
  <si>
    <t xml:space="preserve">HR, Finance</t>
  </si>
  <si>
    <t xml:space="preserve">WEL-002</t>
  </si>
  <si>
    <t xml:space="preserve">Herbal Tea Sampler (5 Sachets)</t>
  </si>
  <si>
    <t xml:space="preserve">WEL-003</t>
  </si>
  <si>
    <t xml:space="preserve">Eye Pillow (Lavender, Cotton)</t>
  </si>
  <si>
    <t xml:space="preserve">SHG unit</t>
  </si>
  <si>
    <t xml:space="preserve">HR burnout care</t>
  </si>
  <si>
    <t xml:space="preserve">Women-led SHG</t>
  </si>
  <si>
    <t xml:space="preserve">WEL-004</t>
  </si>
  <si>
    <t xml:space="preserve">Neem-Wood Comb + Lip Balm Duo</t>
  </si>
  <si>
    <t xml:space="preserve">Festive filler</t>
  </si>
  <si>
    <t xml:space="preserve">WEL-005</t>
  </si>
  <si>
    <t xml:space="preserve">Yoga Strap + Habit Tracker Card</t>
  </si>
  <si>
    <t xml:space="preserve">Wellness month kits</t>
  </si>
  <si>
    <t xml:space="preserve">ECO &amp; SUSTAINABLE</t>
  </si>
  <si>
    <t xml:space="preserve">ECO-001</t>
  </si>
  <si>
    <t xml:space="preserve">Jute Tote (Zip, Laminated Inner)</t>
  </si>
  <si>
    <t xml:space="preserve">Eco &amp; Sustainable</t>
  </si>
  <si>
    <t xml:space="preserve">Manufacturing, ESG</t>
  </si>
  <si>
    <t xml:space="preserve">ECO-002</t>
  </si>
  <si>
    <t xml:space="preserve">Bamboo Cutlery Travel Kit</t>
  </si>
  <si>
    <t xml:space="preserve">Events</t>
  </si>
  <si>
    <t xml:space="preserve">ECO-003</t>
  </si>
  <si>
    <t xml:space="preserve">Recycled-Cotton Notebook + Pencil Set</t>
  </si>
  <si>
    <t xml:space="preserve">ECO-004</t>
  </si>
  <si>
    <t xml:space="preserve">Plantable Seed-Pencil Box of 5</t>
  </si>
  <si>
    <t xml:space="preserve">EdTech, CSR tie-in</t>
  </si>
  <si>
    <t xml:space="preserve">ECO-005</t>
  </si>
  <si>
    <t xml:space="preserve">Cork Coaster Set of 4</t>
  </si>
  <si>
    <t xml:space="preserve">FESTIVE</t>
  </si>
  <si>
    <t xml:space="preserve">FST-001</t>
  </si>
  <si>
    <t xml:space="preserve">Brass Mini Urli with Floating Wick</t>
  </si>
  <si>
    <t xml:space="preserve">Diwali premium</t>
  </si>
  <si>
    <t xml:space="preserve">FST-002</t>
  </si>
  <si>
    <t xml:space="preserve">Dry-Fruit Laddoo Box of 6 (No Preservative)</t>
  </si>
  <si>
    <t xml:space="preserve">Home kitchen partner</t>
  </si>
  <si>
    <t xml:space="preserve">Diwali</t>
  </si>
  <si>
    <t xml:space="preserve">Short shelf life</t>
  </si>
  <si>
    <t xml:space="preserve">FST-003</t>
  </si>
  <si>
    <t xml:space="preserve">Toran (Fabric, Handstitched)</t>
  </si>
  <si>
    <t xml:space="preserve">FST-004</t>
  </si>
  <si>
    <t xml:space="preserve">Rangoli Stencil + Colour Kit</t>
  </si>
  <si>
    <t xml:space="preserve">Diwali fun tier</t>
  </si>
  <si>
    <t xml:space="preserve">PACKAGING</t>
  </si>
  <si>
    <t xml:space="preserve">PKG-001</t>
  </si>
  <si>
    <t xml:space="preserve">Rigid Gift Box (Small, Magnetic, Kraft)</t>
  </si>
  <si>
    <t xml:space="preserve">Packaging</t>
  </si>
  <si>
    <t xml:space="preserve">—</t>
  </si>
  <si>
    <t xml:space="preserve">Component</t>
  </si>
  <si>
    <t xml:space="preserve">PKG-002</t>
  </si>
  <si>
    <t xml:space="preserve">Rigid Gift Box (Medium, Magnetic, Brand Colour)</t>
  </si>
  <si>
    <t xml:space="preserve">PKG-003</t>
  </si>
  <si>
    <t xml:space="preserve">Rigid Gift Box (Large, Magnetic + Sleeve)</t>
  </si>
  <si>
    <t xml:space="preserve">PKG-004</t>
  </si>
  <si>
    <t xml:space="preserve">Wood-Wool Fill + Tissue (Per Box)</t>
  </si>
  <si>
    <t xml:space="preserve">PKG-005</t>
  </si>
  <si>
    <t xml:space="preserve">Printed Brand Insert Card</t>
  </si>
  <si>
    <t xml:space="preserve">QR to landing page</t>
  </si>
  <si>
    <t xml:space="preserve">CRAFTED-BY-ME LINE — Unit Costing</t>
  </si>
  <si>
    <t xml:space="preserve">Blue = your inputs. Labor rate below drives all labor costs. Master sheet pulls Total Unit Cost from column H automatically.</t>
  </si>
  <si>
    <t xml:space="preserve">Your labor rate (₹/hour):</t>
  </si>
  <si>
    <t xml:space="preserve">← set this to what your making-time is worth</t>
  </si>
  <si>
    <t xml:space="preserve">Materials (₹)</t>
  </si>
  <si>
    <t xml:space="preserve">Labor (mins)</t>
  </si>
  <si>
    <t xml:space="preserve">Labor Cost (₹)</t>
  </si>
  <si>
    <t xml:space="preserve">Packaging (₹)</t>
  </si>
  <si>
    <t xml:space="preserve">Batch/Day (units)</t>
  </si>
  <si>
    <t xml:space="preserve">Total Unit Cost (₹)</t>
  </si>
  <si>
    <t xml:space="preserve">Assumption: Batch/Day = 8 working hours ÷ labor mins per unit. If your actual crafts differ from this starter list, edit names/materials freely — formulas will follow.</t>
  </si>
  <si>
    <t xml:space="preserve">INDUSTRY-SPECIFIC BOX BUILDER</t>
  </si>
  <si>
    <t xml:space="preserve">Costs auto-pull from Master Products by SKU. Blue = qty &amp; markup inputs. Change any component SKU and the box re-costs itself.</t>
  </si>
  <si>
    <t xml:space="preserve">EDUCATION &amp; EDTECH</t>
  </si>
  <si>
    <t xml:space="preserve">Theme: growth, learning, calm focus. Buyers: HR/founders at edtechs, school &amp; university admin, L&amp;D heads.</t>
  </si>
  <si>
    <t xml:space="preserve">The First-Bell Box (Essential)</t>
  </si>
  <si>
    <t xml:space="preserve">Qty</t>
  </si>
  <si>
    <t xml:space="preserve">Line Cost (₹)</t>
  </si>
  <si>
    <t xml:space="preserve">Why it's in this box</t>
  </si>
  <si>
    <t xml:space="preserve">Seed-cover handmade notebook</t>
  </si>
  <si>
    <t xml:space="preserve">Plantable = growth metaphor</t>
  </si>
  <si>
    <t xml:space="preserve">Seed-pencil box of 5</t>
  </si>
  <si>
    <t xml:space="preserve">Signature education item</t>
  </si>
  <si>
    <t xml:space="preserve">Ceramic mug, brand colour</t>
  </si>
  <si>
    <t xml:space="preserve">Daily desk presence</t>
  </si>
  <si>
    <t xml:space="preserve">Herbal tea sampler</t>
  </si>
  <si>
    <t xml:space="preserve">Calm-focus angle</t>
  </si>
  <si>
    <t xml:space="preserve">Hand-lettered note + wax seal</t>
  </si>
  <si>
    <t xml:space="preserve">Personal touch</t>
  </si>
  <si>
    <t xml:space="preserve">Rigid box small + </t>
  </si>
  <si>
    <t xml:space="preserve">Fill + tissue</t>
  </si>
  <si>
    <t xml:space="preserve">Box Total Cost</t>
  </si>
  <si>
    <t xml:space="preserve">Markup multiplier (edit)</t>
  </si>
  <si>
    <t xml:space="preserve">Suggested Selling Price (rounded to ₹49/99)</t>
  </si>
  <si>
    <t xml:space="preserve">Gross Margin %</t>
  </si>
  <si>
    <t xml:space="preserve">The Educator's Desk (Signature)</t>
  </si>
  <si>
    <t xml:space="preserve">Vegan-leather notebook</t>
  </si>
  <si>
    <t xml:space="preserve">Professional upgrade</t>
  </si>
  <si>
    <t xml:space="preserve">Brass etched bookmark</t>
  </si>
  <si>
    <t xml:space="preserve">Book-culture nod</t>
  </si>
  <si>
    <t xml:space="preserve">Hand-bound gratitude journal</t>
  </si>
  <si>
    <t xml:space="preserve">Crafted hero item</t>
  </si>
  <si>
    <t xml:space="preserve">Assam estate tea tin</t>
  </si>
  <si>
    <t xml:space="preserve">Staff-room favourite</t>
  </si>
  <si>
    <t xml:space="preserve">Desk succulent in ceramic pot</t>
  </si>
  <si>
    <t xml:space="preserve">Living reminder of growth</t>
  </si>
  <si>
    <t xml:space="preserve">Rigid box medium</t>
  </si>
  <si>
    <t xml:space="preserve">The Learning Leader (Executive)</t>
  </si>
  <si>
    <t xml:space="preserve">Velvet keepsake tray (small)</t>
  </si>
  <si>
    <t xml:space="preserve">Crafted hero</t>
  </si>
  <si>
    <t xml:space="preserve">Brass paperweight</t>
  </si>
  <si>
    <t xml:space="preserve">Gravitas</t>
  </si>
  <si>
    <t xml:space="preserve">Raw forest honey</t>
  </si>
  <si>
    <t xml:space="preserve">Origin story</t>
  </si>
  <si>
    <t xml:space="preserve">Bean-to-bar dark chocolate</t>
  </si>
  <si>
    <t xml:space="preserve">Soy candle 120g custom scent</t>
  </si>
  <si>
    <t xml:space="preserve">Crafted layer</t>
  </si>
  <si>
    <t xml:space="preserve">Rigid box large + sleeve</t>
  </si>
  <si>
    <t xml:space="preserve">FINANCE &amp; BFSI</t>
  </si>
  <si>
    <t xml:space="preserve">Theme: heritage, precision, understated luxury. Note: Essential tier deliberately sits inside common client gift-policy limits.</t>
  </si>
  <si>
    <t xml:space="preserve">The Ledger Box (Essential — policy-safe)</t>
  </si>
  <si>
    <t xml:space="preserve">Gunmetal engraved pen</t>
  </si>
  <si>
    <t xml:space="preserve">Signing instrument</t>
  </si>
  <si>
    <t xml:space="preserve">Heritage note</t>
  </si>
  <si>
    <t xml:space="preserve">Cork coaster set</t>
  </si>
  <si>
    <t xml:space="preserve">Desk-safe, neutral</t>
  </si>
  <si>
    <t xml:space="preserve">Old-world formality</t>
  </si>
  <si>
    <t xml:space="preserve">Rigid box small</t>
  </si>
  <si>
    <t xml:space="preserve">The Portfolio Box (Signature)</t>
  </si>
  <si>
    <t xml:space="preserve">Meeting-ready</t>
  </si>
  <si>
    <t xml:space="preserve">Weight = trust</t>
  </si>
  <si>
    <t xml:space="preserve">Hammered copper bottle</t>
  </si>
  <si>
    <t xml:space="preserve">Wellness + heritage</t>
  </si>
  <si>
    <t xml:space="preserve">The Corner Office (Executive)</t>
  </si>
  <si>
    <t xml:space="preserve">Velvet keepsake tray (large)</t>
  </si>
  <si>
    <t xml:space="preserve">Engraved hero piece</t>
  </si>
  <si>
    <t xml:space="preserve">Soy candle 220g amber jar</t>
  </si>
  <si>
    <t xml:space="preserve">Crafted luxury layer</t>
  </si>
  <si>
    <t xml:space="preserve">Artisan dry fruit box</t>
  </si>
  <si>
    <t xml:space="preserve">Furoshiki fabric wrap finish</t>
  </si>
  <si>
    <t xml:space="preserve">Unforgettable unboxing</t>
  </si>
  <si>
    <t xml:space="preserve">MANUFACTURING &amp; INDUSTRIAL</t>
  </si>
  <si>
    <t xml:space="preserve">Theme: durable, practical, honest. Large-team economics: Essential tier engineered for 100+ unit orders.</t>
  </si>
  <si>
    <t xml:space="preserve">The Floor Crew Box (Essential — bulk hero)</t>
  </si>
  <si>
    <t xml:space="preserve">Insulated steel bottle 750ml</t>
  </si>
  <si>
    <t xml:space="preserve">Survives the floor</t>
  </si>
  <si>
    <t xml:space="preserve">Gourmet makhana duo</t>
  </si>
  <si>
    <t xml:space="preserve">Shift-friendly snack</t>
  </si>
  <si>
    <t xml:space="preserve">Jute zip tote</t>
  </si>
  <si>
    <t xml:space="preserve">Carries daily</t>
  </si>
  <si>
    <t xml:space="preserve">Brand insert card</t>
  </si>
  <si>
    <t xml:space="preserve">The Foreman's Box (Signature)</t>
  </si>
  <si>
    <t xml:space="preserve">Wooden desk organiser + dock</t>
  </si>
  <si>
    <t xml:space="preserve">Supervisor desk</t>
  </si>
  <si>
    <t xml:space="preserve">Resin coaster set, brand colours</t>
  </si>
  <si>
    <t xml:space="preserve">Crafted touch</t>
  </si>
  <si>
    <t xml:space="preserve">The Plant Head Box (Executive)</t>
  </si>
  <si>
    <t xml:space="preserve">Premium durable</t>
  </si>
  <si>
    <t xml:space="preserve">Industrial-heritage nod</t>
  </si>
  <si>
    <t xml:space="preserve">TECH &amp; SAAS</t>
  </si>
  <si>
    <t xml:space="preserve">Theme: minimal, functional, desk-setup culture. Onboarding kits and ABM plays are the wedge.</t>
  </si>
  <si>
    <t xml:space="preserve">The Onboard Kit (Essential)</t>
  </si>
  <si>
    <t xml:space="preserve">Webcam cover + phone stand kit</t>
  </si>
  <si>
    <t xml:space="preserve">Day-one utility</t>
  </si>
  <si>
    <t xml:space="preserve">Die-cut sticker pack</t>
  </si>
  <si>
    <t xml:space="preserve">Filter coffee 250g</t>
  </si>
  <si>
    <t xml:space="preserve">Dev fuel</t>
  </si>
  <si>
    <t xml:space="preserve">The Deep Work Box (Signature)</t>
  </si>
  <si>
    <t xml:space="preserve">PU desk mat 60x30</t>
  </si>
  <si>
    <t xml:space="preserve">Setup anchor</t>
  </si>
  <si>
    <t xml:space="preserve">Cable organiser roll</t>
  </si>
  <si>
    <t xml:space="preserve">The Founder Box (Executive / ABM)</t>
  </si>
  <si>
    <t xml:space="preserve">Wireless charging pad</t>
  </si>
  <si>
    <t xml:space="preserve">Desk centrepiece</t>
  </si>
  <si>
    <t xml:space="preserve">Felt laptop sleeve 14in</t>
  </si>
  <si>
    <t xml:space="preserve">ALL BOXES AT A GLANCE</t>
  </si>
  <si>
    <t xml:space="preserve">Auto-linked to Industry Boxes sheet — changes flow here instantly.</t>
  </si>
  <si>
    <t xml:space="preserve">Industry</t>
  </si>
  <si>
    <t xml:space="preserve">Box</t>
  </si>
  <si>
    <t xml:space="preserve">Total Cost (₹)</t>
  </si>
  <si>
    <t xml:space="preserve">Education &amp; Edtech</t>
  </si>
  <si>
    <t xml:space="preserve">Finance &amp; Bfsi</t>
  </si>
  <si>
    <t xml:space="preserve">Manufacturing &amp; Industrial</t>
  </si>
  <si>
    <t xml:space="preserve">Tech &amp; Saas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</si>
</sst>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65D3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B4531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65D3F"/>
        <bgColor rgb="FF666666"/>
      </patternFill>
    </fill>
    <fill>
      <patternFill patternType="solid">
        <fgColor rgb="FFB4531F"/>
        <bgColor rgb="FF993366"/>
      </patternFill>
    </fill>
    <fill>
      <patternFill patternType="solid">
        <fgColor rgb="FFEFF3EE"/>
        <bgColor rgb="FFF5E9D7"/>
      </patternFill>
    </fill>
    <fill>
      <patternFill patternType="solid">
        <fgColor rgb="FFFFF2B3"/>
        <bgColor rgb="FFF5E9D7"/>
      </patternFill>
    </fill>
    <fill>
      <patternFill patternType="solid">
        <fgColor rgb="FFF5E9D7"/>
        <bgColor rgb="FFEFF3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B3"/>
      <rgbColor rgb="FFEFF3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9D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B4531F"/>
      <rgbColor rgb="FF993366"/>
      <rgbColor rgb="FF333399"/>
      <rgbColor rgb="FF365D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26"/>
    <col collapsed="false" customWidth="true" hidden="false" outlineLevel="0" max="11" min="11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customFormat="false" ht="15" hidden="false" customHeight="false" outlineLevel="0" collapsed="false">
      <c r="A6" s="4" t="s">
        <v>14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customFormat="false" ht="15" hidden="false" customHeight="false" outlineLevel="0" collapsed="false">
      <c r="A7" s="6" t="s">
        <v>15</v>
      </c>
      <c r="B7" s="6" t="s">
        <v>16</v>
      </c>
      <c r="C7" s="6" t="s">
        <v>17</v>
      </c>
      <c r="D7" s="6" t="s">
        <v>18</v>
      </c>
      <c r="E7" s="7" t="n">
        <f aca="false">'Crafted In-House'!H7</f>
        <v>383.833333333333</v>
      </c>
      <c r="F7" s="8" t="n">
        <v>749</v>
      </c>
      <c r="G7" s="9" t="n">
        <f aca="false">IF(F7=0,0,(F7-E7)/F7)</f>
        <v>0.487538940809969</v>
      </c>
      <c r="H7" s="10" t="n">
        <v>1</v>
      </c>
      <c r="I7" s="10" t="n">
        <v>3</v>
      </c>
      <c r="J7" s="6" t="s">
        <v>19</v>
      </c>
      <c r="K7" s="6" t="s">
        <v>20</v>
      </c>
    </row>
    <row r="8" customFormat="false" ht="15" hidden="false" customHeight="false" outlineLevel="0" collapsed="false">
      <c r="A8" s="11" t="s">
        <v>21</v>
      </c>
      <c r="B8" s="11" t="s">
        <v>22</v>
      </c>
      <c r="C8" s="11" t="s">
        <v>17</v>
      </c>
      <c r="D8" s="11" t="s">
        <v>18</v>
      </c>
      <c r="E8" s="12" t="n">
        <f aca="false">'Crafted In-House'!H8</f>
        <v>583.333333333333</v>
      </c>
      <c r="F8" s="13" t="n">
        <v>1199</v>
      </c>
      <c r="G8" s="14" t="n">
        <f aca="false">IF(F8=0,0,(F8-E8)/F8)</f>
        <v>0.513483458437587</v>
      </c>
      <c r="H8" s="15" t="n">
        <v>1</v>
      </c>
      <c r="I8" s="15" t="n">
        <v>3</v>
      </c>
      <c r="J8" s="11" t="s">
        <v>23</v>
      </c>
      <c r="K8" s="11" t="s">
        <v>24</v>
      </c>
    </row>
    <row r="9" customFormat="false" ht="15" hidden="false" customHeight="false" outlineLevel="0" collapsed="false">
      <c r="A9" s="6" t="s">
        <v>25</v>
      </c>
      <c r="B9" s="6" t="s">
        <v>26</v>
      </c>
      <c r="C9" s="6" t="s">
        <v>17</v>
      </c>
      <c r="D9" s="6" t="s">
        <v>18</v>
      </c>
      <c r="E9" s="7" t="n">
        <f aca="false">'Crafted In-House'!H9</f>
        <v>192</v>
      </c>
      <c r="F9" s="8" t="n">
        <v>399</v>
      </c>
      <c r="G9" s="9" t="n">
        <f aca="false">IF(F9=0,0,(F9-E9)/F9)</f>
        <v>0.518796992481203</v>
      </c>
      <c r="H9" s="10" t="n">
        <v>1</v>
      </c>
      <c r="I9" s="10" t="n">
        <v>3</v>
      </c>
      <c r="J9" s="6" t="s">
        <v>27</v>
      </c>
      <c r="K9" s="6" t="s">
        <v>28</v>
      </c>
    </row>
    <row r="10" customFormat="false" ht="15" hidden="false" customHeight="false" outlineLevel="0" collapsed="false">
      <c r="A10" s="11" t="s">
        <v>29</v>
      </c>
      <c r="B10" s="11" t="s">
        <v>30</v>
      </c>
      <c r="C10" s="11" t="s">
        <v>17</v>
      </c>
      <c r="D10" s="11" t="s">
        <v>18</v>
      </c>
      <c r="E10" s="12" t="n">
        <f aca="false">'Crafted In-House'!H10</f>
        <v>266.666666666667</v>
      </c>
      <c r="F10" s="13" t="n">
        <v>599</v>
      </c>
      <c r="G10" s="14" t="n">
        <f aca="false">IF(F10=0,0,(F10-E10)/F10)</f>
        <v>0.554813578185865</v>
      </c>
      <c r="H10" s="15" t="n">
        <v>1</v>
      </c>
      <c r="I10" s="15" t="n">
        <v>3</v>
      </c>
      <c r="J10" s="11" t="s">
        <v>31</v>
      </c>
      <c r="K10" s="11" t="s">
        <v>32</v>
      </c>
    </row>
    <row r="11" customFormat="false" ht="15" hidden="false" customHeight="false" outlineLevel="0" collapsed="false">
      <c r="A11" s="6" t="s">
        <v>33</v>
      </c>
      <c r="B11" s="6" t="s">
        <v>34</v>
      </c>
      <c r="C11" s="6" t="s">
        <v>17</v>
      </c>
      <c r="D11" s="6" t="s">
        <v>18</v>
      </c>
      <c r="E11" s="7" t="n">
        <f aca="false">'Crafted In-House'!H11</f>
        <v>228</v>
      </c>
      <c r="F11" s="8" t="n">
        <v>349</v>
      </c>
      <c r="G11" s="9" t="n">
        <f aca="false">IF(F11=0,0,(F11-E11)/F11)</f>
        <v>0.346704871060172</v>
      </c>
      <c r="H11" s="10" t="n">
        <v>1</v>
      </c>
      <c r="I11" s="10" t="n">
        <v>3</v>
      </c>
      <c r="J11" s="6" t="s">
        <v>35</v>
      </c>
      <c r="K11" s="6" t="s">
        <v>36</v>
      </c>
    </row>
    <row r="12" customFormat="false" ht="15" hidden="false" customHeight="false" outlineLevel="0" collapsed="false">
      <c r="A12" s="11" t="s">
        <v>37</v>
      </c>
      <c r="B12" s="11" t="s">
        <v>38</v>
      </c>
      <c r="C12" s="11" t="s">
        <v>17</v>
      </c>
      <c r="D12" s="11" t="s">
        <v>18</v>
      </c>
      <c r="E12" s="12" t="n">
        <f aca="false">'Crafted In-House'!H12</f>
        <v>56.3333333333333</v>
      </c>
      <c r="F12" s="13" t="n">
        <v>79</v>
      </c>
      <c r="G12" s="14" t="n">
        <f aca="false">IF(F12=0,0,(F12-E12)/F12)</f>
        <v>0.286919831223629</v>
      </c>
      <c r="H12" s="15" t="n">
        <v>1</v>
      </c>
      <c r="I12" s="15" t="n">
        <v>3</v>
      </c>
      <c r="J12" s="11" t="s">
        <v>39</v>
      </c>
      <c r="K12" s="11" t="s">
        <v>40</v>
      </c>
    </row>
    <row r="13" customFormat="false" ht="15" hidden="false" customHeight="false" outlineLevel="0" collapsed="false">
      <c r="A13" s="6" t="s">
        <v>41</v>
      </c>
      <c r="B13" s="6" t="s">
        <v>42</v>
      </c>
      <c r="C13" s="6" t="s">
        <v>17</v>
      </c>
      <c r="D13" s="6" t="s">
        <v>18</v>
      </c>
      <c r="E13" s="7" t="n">
        <f aca="false">'Crafted In-House'!H13</f>
        <v>194.166666666667</v>
      </c>
      <c r="F13" s="8" t="n">
        <v>329</v>
      </c>
      <c r="G13" s="9" t="n">
        <f aca="false">IF(F13=0,0,(F13-E13)/F13)</f>
        <v>0.409827760891591</v>
      </c>
      <c r="H13" s="10" t="n">
        <v>1</v>
      </c>
      <c r="I13" s="10" t="n">
        <v>3</v>
      </c>
      <c r="J13" s="6" t="s">
        <v>43</v>
      </c>
      <c r="K13" s="6" t="s">
        <v>44</v>
      </c>
    </row>
    <row r="14" customFormat="false" ht="15" hidden="false" customHeight="false" outlineLevel="0" collapsed="false">
      <c r="A14" s="11" t="s">
        <v>45</v>
      </c>
      <c r="B14" s="11" t="s">
        <v>46</v>
      </c>
      <c r="C14" s="11" t="s">
        <v>17</v>
      </c>
      <c r="D14" s="11" t="s">
        <v>18</v>
      </c>
      <c r="E14" s="12" t="n">
        <f aca="false">'Crafted In-House'!H14</f>
        <v>89.6666666666667</v>
      </c>
      <c r="F14" s="13" t="n">
        <v>149</v>
      </c>
      <c r="G14" s="14" t="n">
        <f aca="false">IF(F14=0,0,(F14-E14)/F14)</f>
        <v>0.398210290827741</v>
      </c>
      <c r="H14" s="15" t="n">
        <v>1</v>
      </c>
      <c r="I14" s="15" t="n">
        <v>3</v>
      </c>
      <c r="J14" s="11" t="s">
        <v>47</v>
      </c>
      <c r="K14" s="11"/>
    </row>
    <row r="15" customFormat="false" ht="15" hidden="false" customHeight="false" outlineLevel="0" collapsed="false">
      <c r="A15" s="6" t="s">
        <v>48</v>
      </c>
      <c r="B15" s="6" t="s">
        <v>49</v>
      </c>
      <c r="C15" s="6" t="s">
        <v>17</v>
      </c>
      <c r="D15" s="6" t="s">
        <v>18</v>
      </c>
      <c r="E15" s="7" t="n">
        <f aca="false">'Crafted In-House'!H15</f>
        <v>105</v>
      </c>
      <c r="F15" s="8" t="n">
        <v>199</v>
      </c>
      <c r="G15" s="9" t="n">
        <f aca="false">IF(F15=0,0,(F15-E15)/F15)</f>
        <v>0.472361809045226</v>
      </c>
      <c r="H15" s="10" t="n">
        <v>1</v>
      </c>
      <c r="I15" s="10" t="n">
        <v>3</v>
      </c>
      <c r="J15" s="6" t="s">
        <v>50</v>
      </c>
      <c r="K15" s="6" t="s">
        <v>51</v>
      </c>
    </row>
    <row r="16" customFormat="false" ht="15" hidden="false" customHeight="false" outlineLevel="0" collapsed="false">
      <c r="A16" s="11" t="s">
        <v>52</v>
      </c>
      <c r="B16" s="11" t="s">
        <v>53</v>
      </c>
      <c r="C16" s="11" t="s">
        <v>17</v>
      </c>
      <c r="D16" s="11" t="s">
        <v>18</v>
      </c>
      <c r="E16" s="12" t="n">
        <f aca="false">'Crafted In-House'!H16</f>
        <v>140.333333333333</v>
      </c>
      <c r="F16" s="13" t="n">
        <v>229</v>
      </c>
      <c r="G16" s="14" t="n">
        <f aca="false">IF(F16=0,0,(F16-E16)/F16)</f>
        <v>0.387190684133916</v>
      </c>
      <c r="H16" s="15" t="n">
        <v>1</v>
      </c>
      <c r="I16" s="15" t="n">
        <v>3</v>
      </c>
      <c r="J16" s="11" t="s">
        <v>54</v>
      </c>
      <c r="K16" s="11" t="s">
        <v>55</v>
      </c>
    </row>
    <row r="17" customFormat="false" ht="15" hidden="false" customHeight="false" outlineLevel="0" collapsed="false">
      <c r="A17" s="6" t="s">
        <v>56</v>
      </c>
      <c r="B17" s="6" t="s">
        <v>57</v>
      </c>
      <c r="C17" s="6" t="s">
        <v>17</v>
      </c>
      <c r="D17" s="6" t="s">
        <v>18</v>
      </c>
      <c r="E17" s="7" t="n">
        <f aca="false">'Crafted In-House'!H17</f>
        <v>47</v>
      </c>
      <c r="F17" s="8" t="n">
        <v>89</v>
      </c>
      <c r="G17" s="9" t="n">
        <f aca="false">IF(F17=0,0,(F17-E17)/F17)</f>
        <v>0.471910112359551</v>
      </c>
      <c r="H17" s="10" t="n">
        <v>1</v>
      </c>
      <c r="I17" s="10" t="n">
        <v>3</v>
      </c>
      <c r="J17" s="6" t="s">
        <v>39</v>
      </c>
      <c r="K17" s="6" t="s">
        <v>58</v>
      </c>
    </row>
    <row r="18" customFormat="false" ht="15" hidden="false" customHeight="false" outlineLevel="0" collapsed="false">
      <c r="A18" s="11" t="s">
        <v>59</v>
      </c>
      <c r="B18" s="11" t="s">
        <v>60</v>
      </c>
      <c r="C18" s="11" t="s">
        <v>17</v>
      </c>
      <c r="D18" s="11" t="s">
        <v>18</v>
      </c>
      <c r="E18" s="12" t="n">
        <f aca="false">'Crafted In-House'!H18</f>
        <v>276.666666666667</v>
      </c>
      <c r="F18" s="13" t="n">
        <v>449</v>
      </c>
      <c r="G18" s="14" t="n">
        <f aca="false">IF(F18=0,0,(F18-E18)/F18)</f>
        <v>0.383815887156645</v>
      </c>
      <c r="H18" s="15" t="n">
        <v>1</v>
      </c>
      <c r="I18" s="15" t="n">
        <v>3</v>
      </c>
      <c r="J18" s="11" t="s">
        <v>61</v>
      </c>
      <c r="K18" s="11" t="s">
        <v>62</v>
      </c>
    </row>
    <row r="19" customFormat="false" ht="15" hidden="false" customHeight="false" outlineLevel="0" collapsed="false">
      <c r="A19" s="4" t="s">
        <v>63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customFormat="false" ht="15" hidden="false" customHeight="false" outlineLevel="0" collapsed="false">
      <c r="A20" s="11" t="s">
        <v>64</v>
      </c>
      <c r="B20" s="11" t="s">
        <v>65</v>
      </c>
      <c r="C20" s="11" t="s">
        <v>66</v>
      </c>
      <c r="D20" s="11" t="s">
        <v>67</v>
      </c>
      <c r="E20" s="13" t="n">
        <v>240</v>
      </c>
      <c r="F20" s="13" t="n">
        <v>449</v>
      </c>
      <c r="G20" s="14" t="n">
        <f aca="false">IF(F20=0,0,(F20-E20)/F20)</f>
        <v>0.465478841870824</v>
      </c>
      <c r="H20" s="15" t="n">
        <v>25</v>
      </c>
      <c r="I20" s="15" t="n">
        <v>7</v>
      </c>
      <c r="J20" s="11" t="s">
        <v>68</v>
      </c>
      <c r="K20" s="11" t="s">
        <v>69</v>
      </c>
    </row>
    <row r="21" customFormat="false" ht="15" hidden="false" customHeight="false" outlineLevel="0" collapsed="false">
      <c r="A21" s="6" t="s">
        <v>70</v>
      </c>
      <c r="B21" s="6" t="s">
        <v>71</v>
      </c>
      <c r="C21" s="6" t="s">
        <v>66</v>
      </c>
      <c r="D21" s="6" t="s">
        <v>67</v>
      </c>
      <c r="E21" s="8" t="n">
        <v>110</v>
      </c>
      <c r="F21" s="8" t="n">
        <v>249</v>
      </c>
      <c r="G21" s="9" t="n">
        <f aca="false">IF(F21=0,0,(F21-E21)/F21)</f>
        <v>0.558232931726908</v>
      </c>
      <c r="H21" s="10" t="n">
        <v>50</v>
      </c>
      <c r="I21" s="10" t="n">
        <v>10</v>
      </c>
      <c r="J21" s="6" t="s">
        <v>72</v>
      </c>
      <c r="K21" s="6" t="s">
        <v>73</v>
      </c>
    </row>
    <row r="22" customFormat="false" ht="15" hidden="false" customHeight="false" outlineLevel="0" collapsed="false">
      <c r="A22" s="11" t="s">
        <v>74</v>
      </c>
      <c r="B22" s="11" t="s">
        <v>75</v>
      </c>
      <c r="C22" s="11" t="s">
        <v>66</v>
      </c>
      <c r="D22" s="11" t="s">
        <v>67</v>
      </c>
      <c r="E22" s="13" t="n">
        <v>130</v>
      </c>
      <c r="F22" s="13" t="n">
        <v>279</v>
      </c>
      <c r="G22" s="14" t="n">
        <f aca="false">IF(F22=0,0,(F22-E22)/F22)</f>
        <v>0.53405017921147</v>
      </c>
      <c r="H22" s="15" t="n">
        <v>25</v>
      </c>
      <c r="I22" s="15" t="n">
        <v>7</v>
      </c>
      <c r="J22" s="11" t="s">
        <v>76</v>
      </c>
      <c r="K22" s="11"/>
    </row>
    <row r="23" customFormat="false" ht="15" hidden="false" customHeight="false" outlineLevel="0" collapsed="false">
      <c r="A23" s="6" t="s">
        <v>77</v>
      </c>
      <c r="B23" s="6" t="s">
        <v>78</v>
      </c>
      <c r="C23" s="6" t="s">
        <v>66</v>
      </c>
      <c r="D23" s="6" t="s">
        <v>79</v>
      </c>
      <c r="E23" s="8" t="n">
        <v>320</v>
      </c>
      <c r="F23" s="8" t="n">
        <v>649</v>
      </c>
      <c r="G23" s="9" t="n">
        <f aca="false">IF(F23=0,0,(F23-E23)/F23)</f>
        <v>0.50693374422188</v>
      </c>
      <c r="H23" s="10" t="n">
        <v>20</v>
      </c>
      <c r="I23" s="10" t="n">
        <v>12</v>
      </c>
      <c r="J23" s="6" t="s">
        <v>80</v>
      </c>
      <c r="K23" s="6" t="s">
        <v>81</v>
      </c>
    </row>
    <row r="24" customFormat="false" ht="15" hidden="false" customHeight="false" outlineLevel="0" collapsed="false">
      <c r="A24" s="11" t="s">
        <v>82</v>
      </c>
      <c r="B24" s="11" t="s">
        <v>83</v>
      </c>
      <c r="C24" s="11" t="s">
        <v>66</v>
      </c>
      <c r="D24" s="11" t="s">
        <v>67</v>
      </c>
      <c r="E24" s="13" t="n">
        <v>260</v>
      </c>
      <c r="F24" s="13" t="n">
        <v>549</v>
      </c>
      <c r="G24" s="14" t="n">
        <f aca="false">IF(F24=0,0,(F24-E24)/F24)</f>
        <v>0.526411657559199</v>
      </c>
      <c r="H24" s="15" t="n">
        <v>20</v>
      </c>
      <c r="I24" s="15" t="n">
        <v>10</v>
      </c>
      <c r="J24" s="11" t="s">
        <v>84</v>
      </c>
      <c r="K24" s="11" t="s">
        <v>85</v>
      </c>
    </row>
    <row r="25" customFormat="false" ht="15" hidden="false" customHeight="false" outlineLevel="0" collapsed="false">
      <c r="A25" s="6" t="s">
        <v>86</v>
      </c>
      <c r="B25" s="6" t="s">
        <v>87</v>
      </c>
      <c r="C25" s="6" t="s">
        <v>66</v>
      </c>
      <c r="D25" s="6" t="s">
        <v>67</v>
      </c>
      <c r="E25" s="8" t="n">
        <v>380</v>
      </c>
      <c r="F25" s="8" t="n">
        <v>749</v>
      </c>
      <c r="G25" s="9" t="n">
        <f aca="false">IF(F25=0,0,(F25-E25)/F25)</f>
        <v>0.492656875834446</v>
      </c>
      <c r="H25" s="10" t="n">
        <v>15</v>
      </c>
      <c r="I25" s="10" t="n">
        <v>12</v>
      </c>
      <c r="J25" s="6" t="s">
        <v>88</v>
      </c>
      <c r="K25" s="6"/>
    </row>
    <row r="26" customFormat="false" ht="15" hidden="false" customHeight="false" outlineLevel="0" collapsed="false">
      <c r="A26" s="4" t="s">
        <v>89</v>
      </c>
      <c r="B26" s="5"/>
      <c r="C26" s="5"/>
      <c r="D26" s="5"/>
      <c r="E26" s="5"/>
      <c r="F26" s="5"/>
      <c r="G26" s="5"/>
      <c r="H26" s="5"/>
      <c r="I26" s="5"/>
      <c r="J26" s="5"/>
      <c r="K26" s="5"/>
    </row>
    <row r="27" customFormat="false" ht="15" hidden="false" customHeight="false" outlineLevel="0" collapsed="false">
      <c r="A27" s="6" t="s">
        <v>90</v>
      </c>
      <c r="B27" s="6" t="s">
        <v>91</v>
      </c>
      <c r="C27" s="6" t="s">
        <v>92</v>
      </c>
      <c r="D27" s="6" t="s">
        <v>67</v>
      </c>
      <c r="E27" s="8" t="n">
        <v>180</v>
      </c>
      <c r="F27" s="8" t="n">
        <v>379</v>
      </c>
      <c r="G27" s="9" t="n">
        <f aca="false">IF(F27=0,0,(F27-E27)/F27)</f>
        <v>0.525065963060686</v>
      </c>
      <c r="H27" s="10" t="n">
        <v>25</v>
      </c>
      <c r="I27" s="10" t="n">
        <v>5</v>
      </c>
      <c r="J27" s="6" t="s">
        <v>27</v>
      </c>
      <c r="K27" s="6" t="s">
        <v>93</v>
      </c>
    </row>
    <row r="28" customFormat="false" ht="15" hidden="false" customHeight="false" outlineLevel="0" collapsed="false">
      <c r="A28" s="11" t="s">
        <v>94</v>
      </c>
      <c r="B28" s="11" t="s">
        <v>95</v>
      </c>
      <c r="C28" s="11" t="s">
        <v>92</v>
      </c>
      <c r="D28" s="11" t="s">
        <v>96</v>
      </c>
      <c r="E28" s="13" t="n">
        <v>140</v>
      </c>
      <c r="F28" s="13" t="n">
        <v>329</v>
      </c>
      <c r="G28" s="14" t="n">
        <f aca="false">IF(F28=0,0,(F28-E28)/F28)</f>
        <v>0.574468085106383</v>
      </c>
      <c r="H28" s="15" t="n">
        <v>25</v>
      </c>
      <c r="I28" s="15" t="n">
        <v>10</v>
      </c>
      <c r="J28" s="11" t="s">
        <v>97</v>
      </c>
      <c r="K28" s="11" t="s">
        <v>98</v>
      </c>
    </row>
    <row r="29" customFormat="false" ht="15" hidden="false" customHeight="false" outlineLevel="0" collapsed="false">
      <c r="A29" s="6" t="s">
        <v>99</v>
      </c>
      <c r="B29" s="6" t="s">
        <v>100</v>
      </c>
      <c r="C29" s="6" t="s">
        <v>92</v>
      </c>
      <c r="D29" s="6" t="s">
        <v>96</v>
      </c>
      <c r="E29" s="8" t="n">
        <v>160</v>
      </c>
      <c r="F29" s="8" t="n">
        <v>349</v>
      </c>
      <c r="G29" s="9" t="n">
        <f aca="false">IF(F29=0,0,(F29-E29)/F29)</f>
        <v>0.541547277936963</v>
      </c>
      <c r="H29" s="10" t="n">
        <v>25</v>
      </c>
      <c r="I29" s="10" t="n">
        <v>10</v>
      </c>
      <c r="J29" s="6" t="s">
        <v>101</v>
      </c>
      <c r="K29" s="6"/>
    </row>
    <row r="30" customFormat="false" ht="15" hidden="false" customHeight="false" outlineLevel="0" collapsed="false">
      <c r="A30" s="11" t="s">
        <v>102</v>
      </c>
      <c r="B30" s="11" t="s">
        <v>103</v>
      </c>
      <c r="C30" s="11" t="s">
        <v>92</v>
      </c>
      <c r="D30" s="11" t="s">
        <v>67</v>
      </c>
      <c r="E30" s="13" t="n">
        <v>150</v>
      </c>
      <c r="F30" s="13" t="n">
        <v>299</v>
      </c>
      <c r="G30" s="14" t="n">
        <f aca="false">IF(F30=0,0,(F30-E30)/F30)</f>
        <v>0.498327759197324</v>
      </c>
      <c r="H30" s="15" t="n">
        <v>30</v>
      </c>
      <c r="I30" s="15" t="n">
        <v>7</v>
      </c>
      <c r="J30" s="11" t="s">
        <v>27</v>
      </c>
      <c r="K30" s="11" t="s">
        <v>104</v>
      </c>
    </row>
    <row r="31" customFormat="false" ht="15" hidden="false" customHeight="false" outlineLevel="0" collapsed="false">
      <c r="A31" s="6" t="s">
        <v>105</v>
      </c>
      <c r="B31" s="6" t="s">
        <v>106</v>
      </c>
      <c r="C31" s="6" t="s">
        <v>92</v>
      </c>
      <c r="D31" s="6" t="s">
        <v>67</v>
      </c>
      <c r="E31" s="8" t="n">
        <v>120</v>
      </c>
      <c r="F31" s="8" t="n">
        <v>269</v>
      </c>
      <c r="G31" s="9" t="n">
        <f aca="false">IF(F31=0,0,(F31-E31)/F31)</f>
        <v>0.553903345724907</v>
      </c>
      <c r="H31" s="10" t="n">
        <v>30</v>
      </c>
      <c r="I31" s="10" t="n">
        <v>7</v>
      </c>
      <c r="J31" s="6" t="s">
        <v>107</v>
      </c>
      <c r="K31" s="6" t="s">
        <v>108</v>
      </c>
    </row>
    <row r="32" customFormat="false" ht="15" hidden="false" customHeight="false" outlineLevel="0" collapsed="false">
      <c r="A32" s="11" t="s">
        <v>109</v>
      </c>
      <c r="B32" s="11" t="s">
        <v>110</v>
      </c>
      <c r="C32" s="11" t="s">
        <v>92</v>
      </c>
      <c r="D32" s="11" t="s">
        <v>111</v>
      </c>
      <c r="E32" s="13" t="n">
        <v>170</v>
      </c>
      <c r="F32" s="13" t="n">
        <v>349</v>
      </c>
      <c r="G32" s="14" t="n">
        <f aca="false">IF(F32=0,0,(F32-E32)/F32)</f>
        <v>0.512893982808023</v>
      </c>
      <c r="H32" s="15" t="n">
        <v>25</v>
      </c>
      <c r="I32" s="15" t="n">
        <v>10</v>
      </c>
      <c r="J32" s="11" t="s">
        <v>80</v>
      </c>
      <c r="K32" s="11" t="s">
        <v>112</v>
      </c>
    </row>
    <row r="33" customFormat="false" ht="15" hidden="false" customHeight="false" outlineLevel="0" collapsed="false">
      <c r="A33" s="6" t="s">
        <v>113</v>
      </c>
      <c r="B33" s="6" t="s">
        <v>114</v>
      </c>
      <c r="C33" s="6" t="s">
        <v>92</v>
      </c>
      <c r="D33" s="6" t="s">
        <v>67</v>
      </c>
      <c r="E33" s="8" t="n">
        <v>130</v>
      </c>
      <c r="F33" s="8" t="n">
        <v>289</v>
      </c>
      <c r="G33" s="9" t="n">
        <f aca="false">IF(F33=0,0,(F33-E33)/F33)</f>
        <v>0.550173010380623</v>
      </c>
      <c r="H33" s="10" t="n">
        <v>25</v>
      </c>
      <c r="I33" s="10" t="n">
        <v>7</v>
      </c>
      <c r="J33" s="6" t="s">
        <v>115</v>
      </c>
      <c r="K33" s="6"/>
    </row>
    <row r="34" customFormat="false" ht="15" hidden="false" customHeight="false" outlineLevel="0" collapsed="false">
      <c r="A34" s="11" t="s">
        <v>116</v>
      </c>
      <c r="B34" s="11" t="s">
        <v>117</v>
      </c>
      <c r="C34" s="11" t="s">
        <v>92</v>
      </c>
      <c r="D34" s="11" t="s">
        <v>67</v>
      </c>
      <c r="E34" s="13" t="n">
        <v>140</v>
      </c>
      <c r="F34" s="13" t="n">
        <v>299</v>
      </c>
      <c r="G34" s="14" t="n">
        <f aca="false">IF(F34=0,0,(F34-E34)/F34)</f>
        <v>0.531772575250836</v>
      </c>
      <c r="H34" s="15" t="n">
        <v>30</v>
      </c>
      <c r="I34" s="15" t="n">
        <v>7</v>
      </c>
      <c r="J34" s="11" t="s">
        <v>118</v>
      </c>
      <c r="K34" s="11"/>
    </row>
    <row r="35" customFormat="false" ht="15" hidden="false" customHeight="false" outlineLevel="0" collapsed="false">
      <c r="A35" s="4" t="s">
        <v>119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customFormat="false" ht="15" hidden="false" customHeight="false" outlineLevel="0" collapsed="false">
      <c r="A36" s="11" t="s">
        <v>120</v>
      </c>
      <c r="B36" s="11" t="s">
        <v>121</v>
      </c>
      <c r="C36" s="11" t="s">
        <v>122</v>
      </c>
      <c r="D36" s="11" t="s">
        <v>67</v>
      </c>
      <c r="E36" s="13" t="n">
        <v>160</v>
      </c>
      <c r="F36" s="13" t="n">
        <v>349</v>
      </c>
      <c r="G36" s="14" t="n">
        <f aca="false">IF(F36=0,0,(F36-E36)/F36)</f>
        <v>0.541547277936963</v>
      </c>
      <c r="H36" s="15" t="n">
        <v>50</v>
      </c>
      <c r="I36" s="15" t="n">
        <v>10</v>
      </c>
      <c r="J36" s="11" t="s">
        <v>27</v>
      </c>
      <c r="K36" s="11"/>
    </row>
    <row r="37" customFormat="false" ht="15" hidden="false" customHeight="false" outlineLevel="0" collapsed="false">
      <c r="A37" s="6" t="s">
        <v>123</v>
      </c>
      <c r="B37" s="6" t="s">
        <v>124</v>
      </c>
      <c r="C37" s="6" t="s">
        <v>122</v>
      </c>
      <c r="D37" s="6" t="s">
        <v>79</v>
      </c>
      <c r="E37" s="8" t="n">
        <v>120</v>
      </c>
      <c r="F37" s="8" t="n">
        <v>279</v>
      </c>
      <c r="G37" s="9" t="n">
        <f aca="false">IF(F37=0,0,(F37-E37)/F37)</f>
        <v>0.56989247311828</v>
      </c>
      <c r="H37" s="10" t="n">
        <v>30</v>
      </c>
      <c r="I37" s="10" t="n">
        <v>10</v>
      </c>
      <c r="J37" s="6" t="s">
        <v>125</v>
      </c>
      <c r="K37" s="6" t="s">
        <v>126</v>
      </c>
    </row>
    <row r="38" customFormat="false" ht="15" hidden="false" customHeight="false" outlineLevel="0" collapsed="false">
      <c r="A38" s="11" t="s">
        <v>127</v>
      </c>
      <c r="B38" s="11" t="s">
        <v>128</v>
      </c>
      <c r="C38" s="11" t="s">
        <v>122</v>
      </c>
      <c r="D38" s="11" t="s">
        <v>67</v>
      </c>
      <c r="E38" s="13" t="n">
        <v>90</v>
      </c>
      <c r="F38" s="13" t="n">
        <v>199</v>
      </c>
      <c r="G38" s="14" t="n">
        <f aca="false">IF(F38=0,0,(F38-E38)/F38)</f>
        <v>0.547738693467337</v>
      </c>
      <c r="H38" s="15" t="n">
        <v>50</v>
      </c>
      <c r="I38" s="15" t="n">
        <v>7</v>
      </c>
      <c r="J38" s="11" t="s">
        <v>129</v>
      </c>
      <c r="K38" s="11"/>
    </row>
    <row r="39" customFormat="false" ht="15" hidden="false" customHeight="false" outlineLevel="0" collapsed="false">
      <c r="A39" s="6" t="s">
        <v>130</v>
      </c>
      <c r="B39" s="6" t="s">
        <v>131</v>
      </c>
      <c r="C39" s="6" t="s">
        <v>122</v>
      </c>
      <c r="D39" s="6" t="s">
        <v>79</v>
      </c>
      <c r="E39" s="8" t="n">
        <v>210</v>
      </c>
      <c r="F39" s="8" t="n">
        <v>449</v>
      </c>
      <c r="G39" s="9" t="n">
        <f aca="false">IF(F39=0,0,(F39-E39)/F39)</f>
        <v>0.532293986636971</v>
      </c>
      <c r="H39" s="10" t="n">
        <v>20</v>
      </c>
      <c r="I39" s="10" t="n">
        <v>14</v>
      </c>
      <c r="J39" s="6" t="s">
        <v>80</v>
      </c>
      <c r="K39" s="6" t="s">
        <v>132</v>
      </c>
    </row>
    <row r="40" customFormat="false" ht="15" hidden="false" customHeight="false" outlineLevel="0" collapsed="false">
      <c r="A40" s="11" t="s">
        <v>133</v>
      </c>
      <c r="B40" s="11" t="s">
        <v>134</v>
      </c>
      <c r="C40" s="11" t="s">
        <v>122</v>
      </c>
      <c r="D40" s="11" t="s">
        <v>135</v>
      </c>
      <c r="E40" s="13" t="n">
        <v>110</v>
      </c>
      <c r="F40" s="13" t="n">
        <v>269</v>
      </c>
      <c r="G40" s="14" t="n">
        <f aca="false">IF(F40=0,0,(F40-E40)/F40)</f>
        <v>0.591078066914498</v>
      </c>
      <c r="H40" s="15" t="n">
        <v>20</v>
      </c>
      <c r="I40" s="15" t="n">
        <v>3</v>
      </c>
      <c r="J40" s="11" t="s">
        <v>136</v>
      </c>
      <c r="K40" s="11" t="s">
        <v>137</v>
      </c>
    </row>
    <row r="41" customFormat="false" ht="15" hidden="false" customHeight="false" outlineLevel="0" collapsed="false">
      <c r="A41" s="6" t="s">
        <v>138</v>
      </c>
      <c r="B41" s="6" t="s">
        <v>139</v>
      </c>
      <c r="C41" s="6" t="s">
        <v>122</v>
      </c>
      <c r="D41" s="6" t="s">
        <v>79</v>
      </c>
      <c r="E41" s="8" t="n">
        <v>260</v>
      </c>
      <c r="F41" s="8" t="n">
        <v>549</v>
      </c>
      <c r="G41" s="9" t="n">
        <f aca="false">IF(F41=0,0,(F41-E41)/F41)</f>
        <v>0.526411657559199</v>
      </c>
      <c r="H41" s="10" t="n">
        <v>20</v>
      </c>
      <c r="I41" s="10" t="n">
        <v>14</v>
      </c>
      <c r="J41" s="6" t="s">
        <v>140</v>
      </c>
      <c r="K41" s="6" t="s">
        <v>141</v>
      </c>
    </row>
    <row r="42" customFormat="false" ht="15" hidden="false" customHeight="false" outlineLevel="0" collapsed="false">
      <c r="A42" s="11" t="s">
        <v>142</v>
      </c>
      <c r="B42" s="11" t="s">
        <v>143</v>
      </c>
      <c r="C42" s="11" t="s">
        <v>122</v>
      </c>
      <c r="D42" s="11" t="s">
        <v>67</v>
      </c>
      <c r="E42" s="13" t="n">
        <v>60</v>
      </c>
      <c r="F42" s="13" t="n">
        <v>149</v>
      </c>
      <c r="G42" s="14" t="n">
        <f aca="false">IF(F42=0,0,(F42-E42)/F42)</f>
        <v>0.597315436241611</v>
      </c>
      <c r="H42" s="15" t="n">
        <v>50</v>
      </c>
      <c r="I42" s="15" t="n">
        <v>7</v>
      </c>
      <c r="J42" s="11" t="s">
        <v>144</v>
      </c>
      <c r="K42" s="11"/>
    </row>
    <row r="43" customFormat="false" ht="15" hidden="false" customHeight="false" outlineLevel="0" collapsed="false">
      <c r="A43" s="6" t="s">
        <v>145</v>
      </c>
      <c r="B43" s="6" t="s">
        <v>146</v>
      </c>
      <c r="C43" s="6" t="s">
        <v>122</v>
      </c>
      <c r="D43" s="6" t="s">
        <v>79</v>
      </c>
      <c r="E43" s="8" t="n">
        <v>70</v>
      </c>
      <c r="F43" s="8" t="n">
        <v>169</v>
      </c>
      <c r="G43" s="9" t="n">
        <f aca="false">IF(F43=0,0,(F43-E43)/F43)</f>
        <v>0.585798816568047</v>
      </c>
      <c r="H43" s="10" t="n">
        <v>30</v>
      </c>
      <c r="I43" s="10" t="n">
        <v>12</v>
      </c>
      <c r="J43" s="6" t="s">
        <v>144</v>
      </c>
      <c r="K43" s="6" t="s">
        <v>147</v>
      </c>
    </row>
    <row r="44" customFormat="false" ht="15" hidden="false" customHeight="false" outlineLevel="0" collapsed="false">
      <c r="A44" s="4" t="s">
        <v>148</v>
      </c>
      <c r="B44" s="5"/>
      <c r="C44" s="5"/>
      <c r="D44" s="5"/>
      <c r="E44" s="5"/>
      <c r="F44" s="5"/>
      <c r="G44" s="5"/>
      <c r="H44" s="5"/>
      <c r="I44" s="5"/>
      <c r="J44" s="5"/>
      <c r="K44" s="5"/>
    </row>
    <row r="45" customFormat="false" ht="15" hidden="false" customHeight="false" outlineLevel="0" collapsed="false">
      <c r="A45" s="6" t="s">
        <v>149</v>
      </c>
      <c r="B45" s="6" t="s">
        <v>150</v>
      </c>
      <c r="C45" s="6" t="s">
        <v>151</v>
      </c>
      <c r="D45" s="6" t="s">
        <v>67</v>
      </c>
      <c r="E45" s="8" t="n">
        <v>320</v>
      </c>
      <c r="F45" s="8" t="n">
        <v>649</v>
      </c>
      <c r="G45" s="9" t="n">
        <f aca="false">IF(F45=0,0,(F45-E45)/F45)</f>
        <v>0.50693374422188</v>
      </c>
      <c r="H45" s="10" t="n">
        <v>25</v>
      </c>
      <c r="I45" s="10" t="n">
        <v>10</v>
      </c>
      <c r="J45" s="6" t="s">
        <v>152</v>
      </c>
      <c r="K45" s="6" t="s">
        <v>153</v>
      </c>
    </row>
    <row r="46" customFormat="false" ht="15" hidden="false" customHeight="false" outlineLevel="0" collapsed="false">
      <c r="A46" s="11" t="s">
        <v>154</v>
      </c>
      <c r="B46" s="11" t="s">
        <v>155</v>
      </c>
      <c r="C46" s="11" t="s">
        <v>151</v>
      </c>
      <c r="D46" s="11" t="s">
        <v>67</v>
      </c>
      <c r="E46" s="13" t="n">
        <v>130</v>
      </c>
      <c r="F46" s="13" t="n">
        <v>289</v>
      </c>
      <c r="G46" s="14" t="n">
        <f aca="false">IF(F46=0,0,(F46-E46)/F46)</f>
        <v>0.550173010380623</v>
      </c>
      <c r="H46" s="15" t="n">
        <v>30</v>
      </c>
      <c r="I46" s="15" t="n">
        <v>10</v>
      </c>
      <c r="J46" s="11" t="s">
        <v>101</v>
      </c>
      <c r="K46" s="11"/>
    </row>
    <row r="47" customFormat="false" ht="15" hidden="false" customHeight="false" outlineLevel="0" collapsed="false">
      <c r="A47" s="6" t="s">
        <v>156</v>
      </c>
      <c r="B47" s="6" t="s">
        <v>157</v>
      </c>
      <c r="C47" s="6" t="s">
        <v>151</v>
      </c>
      <c r="D47" s="6" t="s">
        <v>67</v>
      </c>
      <c r="E47" s="8" t="n">
        <v>240</v>
      </c>
      <c r="F47" s="8" t="n">
        <v>499</v>
      </c>
      <c r="G47" s="9" t="n">
        <f aca="false">IF(F47=0,0,(F47-E47)/F47)</f>
        <v>0.519038076152305</v>
      </c>
      <c r="H47" s="10" t="n">
        <v>25</v>
      </c>
      <c r="I47" s="10" t="n">
        <v>10</v>
      </c>
      <c r="J47" s="6" t="s">
        <v>158</v>
      </c>
      <c r="K47" s="6"/>
    </row>
    <row r="48" customFormat="false" ht="15" hidden="false" customHeight="false" outlineLevel="0" collapsed="false">
      <c r="A48" s="11" t="s">
        <v>159</v>
      </c>
      <c r="B48" s="11" t="s">
        <v>160</v>
      </c>
      <c r="C48" s="11" t="s">
        <v>151</v>
      </c>
      <c r="D48" s="11" t="s">
        <v>67</v>
      </c>
      <c r="E48" s="13" t="n">
        <v>70</v>
      </c>
      <c r="F48" s="13" t="n">
        <v>169</v>
      </c>
      <c r="G48" s="14" t="n">
        <f aca="false">IF(F48=0,0,(F48-E48)/F48)</f>
        <v>0.585798816568047</v>
      </c>
      <c r="H48" s="15" t="n">
        <v>50</v>
      </c>
      <c r="I48" s="15" t="n">
        <v>7</v>
      </c>
      <c r="J48" s="11" t="s">
        <v>161</v>
      </c>
      <c r="K48" s="11"/>
    </row>
    <row r="49" customFormat="false" ht="15" hidden="false" customHeight="false" outlineLevel="0" collapsed="false">
      <c r="A49" s="6" t="s">
        <v>162</v>
      </c>
      <c r="B49" s="6" t="s">
        <v>163</v>
      </c>
      <c r="C49" s="6" t="s">
        <v>151</v>
      </c>
      <c r="D49" s="6" t="s">
        <v>67</v>
      </c>
      <c r="E49" s="8" t="n">
        <v>210</v>
      </c>
      <c r="F49" s="8" t="n">
        <v>449</v>
      </c>
      <c r="G49" s="9" t="n">
        <f aca="false">IF(F49=0,0,(F49-E49)/F49)</f>
        <v>0.532293986636971</v>
      </c>
      <c r="H49" s="10" t="n">
        <v>25</v>
      </c>
      <c r="I49" s="10" t="n">
        <v>10</v>
      </c>
      <c r="J49" s="6" t="s">
        <v>101</v>
      </c>
      <c r="K49" s="6" t="s">
        <v>164</v>
      </c>
    </row>
    <row r="50" customFormat="false" ht="15" hidden="false" customHeight="false" outlineLevel="0" collapsed="false">
      <c r="A50" s="11" t="s">
        <v>165</v>
      </c>
      <c r="B50" s="11" t="s">
        <v>166</v>
      </c>
      <c r="C50" s="11" t="s">
        <v>151</v>
      </c>
      <c r="D50" s="11" t="s">
        <v>167</v>
      </c>
      <c r="E50" s="13" t="n">
        <v>35</v>
      </c>
      <c r="F50" s="13" t="n">
        <v>99</v>
      </c>
      <c r="G50" s="14" t="n">
        <f aca="false">IF(F50=0,0,(F50-E50)/F50)</f>
        <v>0.646464646464647</v>
      </c>
      <c r="H50" s="15" t="n">
        <v>100</v>
      </c>
      <c r="I50" s="15" t="n">
        <v>7</v>
      </c>
      <c r="J50" s="11" t="s">
        <v>168</v>
      </c>
      <c r="K50" s="11" t="s">
        <v>169</v>
      </c>
    </row>
    <row r="51" customFormat="false" ht="15" hidden="false" customHeight="false" outlineLevel="0" collapsed="false">
      <c r="A51" s="4" t="s">
        <v>170</v>
      </c>
      <c r="B51" s="5"/>
      <c r="C51" s="5"/>
      <c r="D51" s="5"/>
      <c r="E51" s="5"/>
      <c r="F51" s="5"/>
      <c r="G51" s="5"/>
      <c r="H51" s="5"/>
      <c r="I51" s="5"/>
      <c r="J51" s="5"/>
      <c r="K51" s="5"/>
    </row>
    <row r="52" customFormat="false" ht="15" hidden="false" customHeight="false" outlineLevel="0" collapsed="false">
      <c r="A52" s="11" t="s">
        <v>171</v>
      </c>
      <c r="B52" s="11" t="s">
        <v>172</v>
      </c>
      <c r="C52" s="11" t="s">
        <v>173</v>
      </c>
      <c r="D52" s="11" t="s">
        <v>67</v>
      </c>
      <c r="E52" s="13" t="n">
        <v>110</v>
      </c>
      <c r="F52" s="13" t="n">
        <v>249</v>
      </c>
      <c r="G52" s="14" t="n">
        <f aca="false">IF(F52=0,0,(F52-E52)/F52)</f>
        <v>0.558232931726908</v>
      </c>
      <c r="H52" s="15" t="n">
        <v>30</v>
      </c>
      <c r="I52" s="15" t="n">
        <v>10</v>
      </c>
      <c r="J52" s="11" t="s">
        <v>174</v>
      </c>
      <c r="K52" s="11"/>
    </row>
    <row r="53" customFormat="false" ht="15" hidden="false" customHeight="false" outlineLevel="0" collapsed="false">
      <c r="A53" s="6" t="s">
        <v>175</v>
      </c>
      <c r="B53" s="6" t="s">
        <v>176</v>
      </c>
      <c r="C53" s="6" t="s">
        <v>173</v>
      </c>
      <c r="D53" s="6" t="s">
        <v>67</v>
      </c>
      <c r="E53" s="8" t="n">
        <v>90</v>
      </c>
      <c r="F53" s="8" t="n">
        <v>199</v>
      </c>
      <c r="G53" s="9" t="n">
        <f aca="false">IF(F53=0,0,(F53-E53)/F53)</f>
        <v>0.547738693467337</v>
      </c>
      <c r="H53" s="10" t="n">
        <v>30</v>
      </c>
      <c r="I53" s="10" t="n">
        <v>7</v>
      </c>
      <c r="J53" s="6" t="s">
        <v>27</v>
      </c>
      <c r="K53" s="6"/>
    </row>
    <row r="54" customFormat="false" ht="15" hidden="false" customHeight="false" outlineLevel="0" collapsed="false">
      <c r="A54" s="11" t="s">
        <v>177</v>
      </c>
      <c r="B54" s="11" t="s">
        <v>178</v>
      </c>
      <c r="C54" s="11" t="s">
        <v>173</v>
      </c>
      <c r="D54" s="11" t="s">
        <v>179</v>
      </c>
      <c r="E54" s="13" t="n">
        <v>95</v>
      </c>
      <c r="F54" s="13" t="n">
        <v>229</v>
      </c>
      <c r="G54" s="14" t="n">
        <f aca="false">IF(F54=0,0,(F54-E54)/F54)</f>
        <v>0.585152838427948</v>
      </c>
      <c r="H54" s="15" t="n">
        <v>25</v>
      </c>
      <c r="I54" s="15" t="n">
        <v>12</v>
      </c>
      <c r="J54" s="11" t="s">
        <v>180</v>
      </c>
      <c r="K54" s="11" t="s">
        <v>181</v>
      </c>
    </row>
    <row r="55" customFormat="false" ht="15" hidden="false" customHeight="false" outlineLevel="0" collapsed="false">
      <c r="A55" s="6" t="s">
        <v>182</v>
      </c>
      <c r="B55" s="6" t="s">
        <v>183</v>
      </c>
      <c r="C55" s="6" t="s">
        <v>173</v>
      </c>
      <c r="D55" s="6" t="s">
        <v>79</v>
      </c>
      <c r="E55" s="8" t="n">
        <v>85</v>
      </c>
      <c r="F55" s="8" t="n">
        <v>199</v>
      </c>
      <c r="G55" s="9" t="n">
        <f aca="false">IF(F55=0,0,(F55-E55)/F55)</f>
        <v>0.57286432160804</v>
      </c>
      <c r="H55" s="10" t="n">
        <v>30</v>
      </c>
      <c r="I55" s="10" t="n">
        <v>10</v>
      </c>
      <c r="J55" s="6" t="s">
        <v>184</v>
      </c>
      <c r="K55" s="6"/>
    </row>
    <row r="56" customFormat="false" ht="15" hidden="false" customHeight="false" outlineLevel="0" collapsed="false">
      <c r="A56" s="11" t="s">
        <v>185</v>
      </c>
      <c r="B56" s="11" t="s">
        <v>186</v>
      </c>
      <c r="C56" s="11" t="s">
        <v>173</v>
      </c>
      <c r="D56" s="11" t="s">
        <v>67</v>
      </c>
      <c r="E56" s="13" t="n">
        <v>120</v>
      </c>
      <c r="F56" s="13" t="n">
        <v>269</v>
      </c>
      <c r="G56" s="14" t="n">
        <f aca="false">IF(F56=0,0,(F56-E56)/F56)</f>
        <v>0.553903345724907</v>
      </c>
      <c r="H56" s="15" t="n">
        <v>25</v>
      </c>
      <c r="I56" s="15" t="n">
        <v>10</v>
      </c>
      <c r="J56" s="11" t="s">
        <v>187</v>
      </c>
      <c r="K56" s="11"/>
    </row>
    <row r="57" customFormat="false" ht="15" hidden="false" customHeight="false" outlineLevel="0" collapsed="false">
      <c r="A57" s="4" t="s">
        <v>188</v>
      </c>
      <c r="B57" s="5"/>
      <c r="C57" s="5"/>
      <c r="D57" s="5"/>
      <c r="E57" s="5"/>
      <c r="F57" s="5"/>
      <c r="G57" s="5"/>
      <c r="H57" s="5"/>
      <c r="I57" s="5"/>
      <c r="J57" s="5"/>
      <c r="K57" s="5"/>
    </row>
    <row r="58" customFormat="false" ht="15" hidden="false" customHeight="false" outlineLevel="0" collapsed="false">
      <c r="A58" s="11" t="s">
        <v>189</v>
      </c>
      <c r="B58" s="11" t="s">
        <v>190</v>
      </c>
      <c r="C58" s="11" t="s">
        <v>191</v>
      </c>
      <c r="D58" s="11" t="s">
        <v>179</v>
      </c>
      <c r="E58" s="13" t="n">
        <v>95</v>
      </c>
      <c r="F58" s="13" t="n">
        <v>229</v>
      </c>
      <c r="G58" s="14" t="n">
        <f aca="false">IF(F58=0,0,(F58-E58)/F58)</f>
        <v>0.585152838427948</v>
      </c>
      <c r="H58" s="15" t="n">
        <v>50</v>
      </c>
      <c r="I58" s="15" t="n">
        <v>12</v>
      </c>
      <c r="J58" s="11" t="s">
        <v>192</v>
      </c>
      <c r="K58" s="11"/>
    </row>
    <row r="59" customFormat="false" ht="15" hidden="false" customHeight="false" outlineLevel="0" collapsed="false">
      <c r="A59" s="6" t="s">
        <v>193</v>
      </c>
      <c r="B59" s="6" t="s">
        <v>194</v>
      </c>
      <c r="C59" s="6" t="s">
        <v>191</v>
      </c>
      <c r="D59" s="6" t="s">
        <v>67</v>
      </c>
      <c r="E59" s="8" t="n">
        <v>85</v>
      </c>
      <c r="F59" s="8" t="n">
        <v>199</v>
      </c>
      <c r="G59" s="9" t="n">
        <f aca="false">IF(F59=0,0,(F59-E59)/F59)</f>
        <v>0.57286432160804</v>
      </c>
      <c r="H59" s="10" t="n">
        <v>50</v>
      </c>
      <c r="I59" s="10" t="n">
        <v>10</v>
      </c>
      <c r="J59" s="6" t="s">
        <v>195</v>
      </c>
      <c r="K59" s="6"/>
    </row>
    <row r="60" customFormat="false" ht="15" hidden="false" customHeight="false" outlineLevel="0" collapsed="false">
      <c r="A60" s="11" t="s">
        <v>196</v>
      </c>
      <c r="B60" s="11" t="s">
        <v>197</v>
      </c>
      <c r="C60" s="11" t="s">
        <v>191</v>
      </c>
      <c r="D60" s="11" t="s">
        <v>67</v>
      </c>
      <c r="E60" s="13" t="n">
        <v>90</v>
      </c>
      <c r="F60" s="13" t="n">
        <v>219</v>
      </c>
      <c r="G60" s="14" t="n">
        <f aca="false">IF(F60=0,0,(F60-E60)/F60)</f>
        <v>0.589041095890411</v>
      </c>
      <c r="H60" s="15" t="n">
        <v>50</v>
      </c>
      <c r="I60" s="15" t="n">
        <v>10</v>
      </c>
      <c r="J60" s="11" t="s">
        <v>144</v>
      </c>
      <c r="K60" s="11"/>
    </row>
    <row r="61" customFormat="false" ht="15" hidden="false" customHeight="false" outlineLevel="0" collapsed="false">
      <c r="A61" s="6" t="s">
        <v>198</v>
      </c>
      <c r="B61" s="6" t="s">
        <v>199</v>
      </c>
      <c r="C61" s="6" t="s">
        <v>191</v>
      </c>
      <c r="D61" s="6" t="s">
        <v>67</v>
      </c>
      <c r="E61" s="8" t="n">
        <v>60</v>
      </c>
      <c r="F61" s="8" t="n">
        <v>149</v>
      </c>
      <c r="G61" s="9" t="n">
        <f aca="false">IF(F61=0,0,(F61-E61)/F61)</f>
        <v>0.597315436241611</v>
      </c>
      <c r="H61" s="10" t="n">
        <v>50</v>
      </c>
      <c r="I61" s="10" t="n">
        <v>7</v>
      </c>
      <c r="J61" s="6" t="s">
        <v>200</v>
      </c>
      <c r="K61" s="6"/>
    </row>
    <row r="62" customFormat="false" ht="15" hidden="false" customHeight="false" outlineLevel="0" collapsed="false">
      <c r="A62" s="11" t="s">
        <v>201</v>
      </c>
      <c r="B62" s="11" t="s">
        <v>202</v>
      </c>
      <c r="C62" s="11" t="s">
        <v>191</v>
      </c>
      <c r="D62" s="11" t="s">
        <v>67</v>
      </c>
      <c r="E62" s="13" t="n">
        <v>80</v>
      </c>
      <c r="F62" s="13" t="n">
        <v>189</v>
      </c>
      <c r="G62" s="14" t="n">
        <f aca="false">IF(F62=0,0,(F62-E62)/F62)</f>
        <v>0.576719576719577</v>
      </c>
      <c r="H62" s="15" t="n">
        <v>50</v>
      </c>
      <c r="I62" s="15" t="n">
        <v>10</v>
      </c>
      <c r="J62" s="11" t="s">
        <v>152</v>
      </c>
      <c r="K62" s="11"/>
    </row>
    <row r="63" customFormat="false" ht="15" hidden="false" customHeight="false" outlineLevel="0" collapsed="false">
      <c r="A63" s="4" t="s">
        <v>203</v>
      </c>
      <c r="B63" s="5"/>
      <c r="C63" s="5"/>
      <c r="D63" s="5"/>
      <c r="E63" s="5"/>
      <c r="F63" s="5"/>
      <c r="G63" s="5"/>
      <c r="H63" s="5"/>
      <c r="I63" s="5"/>
      <c r="J63" s="5"/>
      <c r="K63" s="5"/>
    </row>
    <row r="64" customFormat="false" ht="15" hidden="false" customHeight="false" outlineLevel="0" collapsed="false">
      <c r="A64" s="11" t="s">
        <v>204</v>
      </c>
      <c r="B64" s="11" t="s">
        <v>205</v>
      </c>
      <c r="C64" s="11" t="s">
        <v>115</v>
      </c>
      <c r="D64" s="11" t="s">
        <v>79</v>
      </c>
      <c r="E64" s="13" t="n">
        <v>240</v>
      </c>
      <c r="F64" s="13" t="n">
        <v>499</v>
      </c>
      <c r="G64" s="14" t="n">
        <f aca="false">IF(F64=0,0,(F64-E64)/F64)</f>
        <v>0.519038076152305</v>
      </c>
      <c r="H64" s="15" t="n">
        <v>20</v>
      </c>
      <c r="I64" s="15" t="n">
        <v>14</v>
      </c>
      <c r="J64" s="11" t="s">
        <v>206</v>
      </c>
      <c r="K64" s="11"/>
    </row>
    <row r="65" customFormat="false" ht="15" hidden="false" customHeight="false" outlineLevel="0" collapsed="false">
      <c r="A65" s="6" t="s">
        <v>207</v>
      </c>
      <c r="B65" s="6" t="s">
        <v>208</v>
      </c>
      <c r="C65" s="6" t="s">
        <v>115</v>
      </c>
      <c r="D65" s="6" t="s">
        <v>209</v>
      </c>
      <c r="E65" s="8" t="n">
        <v>160</v>
      </c>
      <c r="F65" s="8" t="n">
        <v>349</v>
      </c>
      <c r="G65" s="9" t="n">
        <f aca="false">IF(F65=0,0,(F65-E65)/F65)</f>
        <v>0.541547277936963</v>
      </c>
      <c r="H65" s="10" t="n">
        <v>25</v>
      </c>
      <c r="I65" s="10" t="n">
        <v>3</v>
      </c>
      <c r="J65" s="6" t="s">
        <v>210</v>
      </c>
      <c r="K65" s="6" t="s">
        <v>211</v>
      </c>
    </row>
    <row r="66" customFormat="false" ht="15" hidden="false" customHeight="false" outlineLevel="0" collapsed="false">
      <c r="A66" s="11" t="s">
        <v>212</v>
      </c>
      <c r="B66" s="11" t="s">
        <v>213</v>
      </c>
      <c r="C66" s="11" t="s">
        <v>115</v>
      </c>
      <c r="D66" s="11" t="s">
        <v>179</v>
      </c>
      <c r="E66" s="13" t="n">
        <v>130</v>
      </c>
      <c r="F66" s="13" t="n">
        <v>299</v>
      </c>
      <c r="G66" s="14" t="n">
        <f aca="false">IF(F66=0,0,(F66-E66)/F66)</f>
        <v>0.565217391304348</v>
      </c>
      <c r="H66" s="15" t="n">
        <v>20</v>
      </c>
      <c r="I66" s="15" t="n">
        <v>14</v>
      </c>
      <c r="J66" s="11" t="s">
        <v>210</v>
      </c>
      <c r="K66" s="11"/>
    </row>
    <row r="67" customFormat="false" ht="15" hidden="false" customHeight="false" outlineLevel="0" collapsed="false">
      <c r="A67" s="6" t="s">
        <v>214</v>
      </c>
      <c r="B67" s="6" t="s">
        <v>215</v>
      </c>
      <c r="C67" s="6" t="s">
        <v>115</v>
      </c>
      <c r="D67" s="6" t="s">
        <v>67</v>
      </c>
      <c r="E67" s="8" t="n">
        <v>70</v>
      </c>
      <c r="F67" s="8" t="n">
        <v>169</v>
      </c>
      <c r="G67" s="9" t="n">
        <f aca="false">IF(F67=0,0,(F67-E67)/F67)</f>
        <v>0.585798816568047</v>
      </c>
      <c r="H67" s="10" t="n">
        <v>30</v>
      </c>
      <c r="I67" s="10" t="n">
        <v>7</v>
      </c>
      <c r="J67" s="6" t="s">
        <v>216</v>
      </c>
      <c r="K67" s="6"/>
    </row>
    <row r="68" customFormat="false" ht="15" hidden="false" customHeight="false" outlineLevel="0" collapsed="false">
      <c r="A68" s="4" t="s">
        <v>217</v>
      </c>
      <c r="B68" s="5"/>
      <c r="C68" s="5"/>
      <c r="D68" s="5"/>
      <c r="E68" s="5"/>
      <c r="F68" s="5"/>
      <c r="G68" s="5"/>
      <c r="H68" s="5"/>
      <c r="I68" s="5"/>
      <c r="J68" s="5"/>
      <c r="K68" s="5"/>
    </row>
    <row r="69" customFormat="false" ht="15" hidden="false" customHeight="false" outlineLevel="0" collapsed="false">
      <c r="A69" s="6" t="s">
        <v>218</v>
      </c>
      <c r="B69" s="6" t="s">
        <v>219</v>
      </c>
      <c r="C69" s="6" t="s">
        <v>220</v>
      </c>
      <c r="D69" s="6" t="s">
        <v>167</v>
      </c>
      <c r="E69" s="8" t="n">
        <v>70</v>
      </c>
      <c r="F69" s="6" t="s">
        <v>221</v>
      </c>
      <c r="G69" s="6" t="s">
        <v>221</v>
      </c>
      <c r="H69" s="10" t="n">
        <v>50</v>
      </c>
      <c r="I69" s="10" t="n">
        <v>10</v>
      </c>
      <c r="J69" s="6" t="s">
        <v>222</v>
      </c>
      <c r="K69" s="6"/>
    </row>
    <row r="70" customFormat="false" ht="15" hidden="false" customHeight="false" outlineLevel="0" collapsed="false">
      <c r="A70" s="11" t="s">
        <v>223</v>
      </c>
      <c r="B70" s="11" t="s">
        <v>224</v>
      </c>
      <c r="C70" s="11" t="s">
        <v>220</v>
      </c>
      <c r="D70" s="11" t="s">
        <v>167</v>
      </c>
      <c r="E70" s="13" t="n">
        <v>105</v>
      </c>
      <c r="F70" s="11" t="s">
        <v>221</v>
      </c>
      <c r="G70" s="11" t="s">
        <v>221</v>
      </c>
      <c r="H70" s="15" t="n">
        <v>50</v>
      </c>
      <c r="I70" s="15" t="n">
        <v>10</v>
      </c>
      <c r="J70" s="11" t="s">
        <v>222</v>
      </c>
      <c r="K70" s="11"/>
    </row>
    <row r="71" customFormat="false" ht="15" hidden="false" customHeight="false" outlineLevel="0" collapsed="false">
      <c r="A71" s="6" t="s">
        <v>225</v>
      </c>
      <c r="B71" s="6" t="s">
        <v>226</v>
      </c>
      <c r="C71" s="6" t="s">
        <v>220</v>
      </c>
      <c r="D71" s="6" t="s">
        <v>167</v>
      </c>
      <c r="E71" s="8" t="n">
        <v>150</v>
      </c>
      <c r="F71" s="6" t="s">
        <v>221</v>
      </c>
      <c r="G71" s="6" t="s">
        <v>221</v>
      </c>
      <c r="H71" s="10" t="n">
        <v>50</v>
      </c>
      <c r="I71" s="10" t="n">
        <v>12</v>
      </c>
      <c r="J71" s="6" t="s">
        <v>222</v>
      </c>
      <c r="K71" s="6"/>
    </row>
    <row r="72" customFormat="false" ht="15" hidden="false" customHeight="false" outlineLevel="0" collapsed="false">
      <c r="A72" s="11" t="s">
        <v>227</v>
      </c>
      <c r="B72" s="11" t="s">
        <v>228</v>
      </c>
      <c r="C72" s="11" t="s">
        <v>220</v>
      </c>
      <c r="D72" s="11" t="s">
        <v>67</v>
      </c>
      <c r="E72" s="13" t="n">
        <v>18</v>
      </c>
      <c r="F72" s="11" t="s">
        <v>221</v>
      </c>
      <c r="G72" s="11" t="s">
        <v>221</v>
      </c>
      <c r="H72" s="15" t="n">
        <v>100</v>
      </c>
      <c r="I72" s="15" t="n">
        <v>5</v>
      </c>
      <c r="J72" s="11" t="s">
        <v>222</v>
      </c>
      <c r="K72" s="11"/>
    </row>
    <row r="73" customFormat="false" ht="15" hidden="false" customHeight="false" outlineLevel="0" collapsed="false">
      <c r="A73" s="6" t="s">
        <v>229</v>
      </c>
      <c r="B73" s="6" t="s">
        <v>230</v>
      </c>
      <c r="C73" s="6" t="s">
        <v>220</v>
      </c>
      <c r="D73" s="6" t="s">
        <v>167</v>
      </c>
      <c r="E73" s="8" t="n">
        <v>8</v>
      </c>
      <c r="F73" s="6" t="s">
        <v>221</v>
      </c>
      <c r="G73" s="6" t="s">
        <v>221</v>
      </c>
      <c r="H73" s="10" t="n">
        <v>200</v>
      </c>
      <c r="I73" s="10" t="n">
        <v>7</v>
      </c>
      <c r="J73" s="6" t="s">
        <v>222</v>
      </c>
      <c r="K73" s="6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0"/>
    <col collapsed="false" customWidth="true" hidden="false" outlineLevel="0" max="11" min="11" style="0" width="26"/>
  </cols>
  <sheetData>
    <row r="1" customFormat="false" ht="19.7" hidden="false" customHeight="false" outlineLevel="0" collapsed="false">
      <c r="A1" s="1" t="s">
        <v>232</v>
      </c>
    </row>
    <row r="2" customFormat="false" ht="15" hidden="false" customHeight="false" outlineLevel="0" collapsed="false">
      <c r="A2" s="2" t="s">
        <v>233</v>
      </c>
    </row>
    <row r="4" customFormat="false" ht="15" hidden="false" customHeight="false" outlineLevel="0" collapsed="false">
      <c r="A4" s="16" t="s">
        <v>234</v>
      </c>
      <c r="C4" s="17" t="n">
        <v>250</v>
      </c>
      <c r="D4" s="2" t="s">
        <v>235</v>
      </c>
    </row>
    <row r="6" customFormat="false" ht="23.85" hidden="false" customHeight="false" outlineLevel="0" collapsed="false">
      <c r="A6" s="18" t="s">
        <v>3</v>
      </c>
      <c r="B6" s="18" t="s">
        <v>4</v>
      </c>
      <c r="C6" s="18" t="s">
        <v>236</v>
      </c>
      <c r="D6" s="18" t="s">
        <v>237</v>
      </c>
      <c r="E6" s="18" t="s">
        <v>238</v>
      </c>
      <c r="F6" s="18" t="s">
        <v>239</v>
      </c>
      <c r="G6" s="18" t="s">
        <v>240</v>
      </c>
      <c r="H6" s="18" t="s">
        <v>241</v>
      </c>
      <c r="I6" s="18" t="s">
        <v>8</v>
      </c>
      <c r="J6" s="18" t="s">
        <v>9</v>
      </c>
      <c r="K6" s="18" t="s">
        <v>12</v>
      </c>
    </row>
    <row r="7" customFormat="false" ht="15" hidden="false" customHeight="false" outlineLevel="0" collapsed="false">
      <c r="A7" s="6" t="s">
        <v>15</v>
      </c>
      <c r="B7" s="6" t="s">
        <v>16</v>
      </c>
      <c r="C7" s="8" t="n">
        <v>210</v>
      </c>
      <c r="D7" s="10" t="n">
        <v>35</v>
      </c>
      <c r="E7" s="19" t="n">
        <f aca="false">D7/60*$C$4</f>
        <v>145.833333333333</v>
      </c>
      <c r="F7" s="8" t="n">
        <v>28</v>
      </c>
      <c r="G7" s="6" t="n">
        <v>14</v>
      </c>
      <c r="H7" s="19" t="n">
        <f aca="false">C7+E7+F7</f>
        <v>383.833333333333</v>
      </c>
      <c r="I7" s="8" t="n">
        <v>749</v>
      </c>
      <c r="J7" s="9" t="n">
        <f aca="false">IF(I7=0,0,(I7-H7)/I7)</f>
        <v>0.487538940809969</v>
      </c>
      <c r="K7" s="6" t="s">
        <v>19</v>
      </c>
    </row>
    <row r="8" customFormat="false" ht="15" hidden="false" customHeight="false" outlineLevel="0" collapsed="false">
      <c r="A8" s="6" t="s">
        <v>21</v>
      </c>
      <c r="B8" s="6" t="s">
        <v>22</v>
      </c>
      <c r="C8" s="8" t="n">
        <v>340</v>
      </c>
      <c r="D8" s="10" t="n">
        <v>50</v>
      </c>
      <c r="E8" s="19" t="n">
        <f aca="false">D8/60*$C$4</f>
        <v>208.333333333333</v>
      </c>
      <c r="F8" s="8" t="n">
        <v>35</v>
      </c>
      <c r="G8" s="6" t="n">
        <v>10</v>
      </c>
      <c r="H8" s="19" t="n">
        <f aca="false">C8+E8+F8</f>
        <v>583.333333333333</v>
      </c>
      <c r="I8" s="8" t="n">
        <v>1199</v>
      </c>
      <c r="J8" s="9" t="n">
        <f aca="false">IF(I8=0,0,(I8-H8)/I8)</f>
        <v>0.513483458437587</v>
      </c>
      <c r="K8" s="6" t="s">
        <v>23</v>
      </c>
    </row>
    <row r="9" customFormat="false" ht="15" hidden="false" customHeight="false" outlineLevel="0" collapsed="false">
      <c r="A9" s="6" t="s">
        <v>25</v>
      </c>
      <c r="B9" s="6" t="s">
        <v>26</v>
      </c>
      <c r="C9" s="8" t="n">
        <v>95</v>
      </c>
      <c r="D9" s="10" t="n">
        <v>18</v>
      </c>
      <c r="E9" s="19" t="n">
        <f aca="false">D9/60*$C$4</f>
        <v>75</v>
      </c>
      <c r="F9" s="8" t="n">
        <v>22</v>
      </c>
      <c r="G9" s="6" t="n">
        <v>27</v>
      </c>
      <c r="H9" s="19" t="n">
        <f aca="false">C9+E9+F9</f>
        <v>192</v>
      </c>
      <c r="I9" s="8" t="n">
        <v>399</v>
      </c>
      <c r="J9" s="9" t="n">
        <f aca="false">IF(I9=0,0,(I9-H9)/I9)</f>
        <v>0.518796992481203</v>
      </c>
      <c r="K9" s="6" t="s">
        <v>27</v>
      </c>
    </row>
    <row r="10" customFormat="false" ht="15" hidden="false" customHeight="false" outlineLevel="0" collapsed="false">
      <c r="A10" s="6" t="s">
        <v>29</v>
      </c>
      <c r="B10" s="6" t="s">
        <v>30</v>
      </c>
      <c r="C10" s="8" t="n">
        <v>150</v>
      </c>
      <c r="D10" s="10" t="n">
        <v>22</v>
      </c>
      <c r="E10" s="19" t="n">
        <f aca="false">D10/60*$C$4</f>
        <v>91.6666666666667</v>
      </c>
      <c r="F10" s="8" t="n">
        <v>25</v>
      </c>
      <c r="G10" s="6" t="n">
        <v>22</v>
      </c>
      <c r="H10" s="19" t="n">
        <f aca="false">C10+E10+F10</f>
        <v>266.666666666667</v>
      </c>
      <c r="I10" s="8" t="n">
        <v>599</v>
      </c>
      <c r="J10" s="9" t="n">
        <f aca="false">IF(I10=0,0,(I10-H10)/I10)</f>
        <v>0.554813578185865</v>
      </c>
      <c r="K10" s="6" t="s">
        <v>31</v>
      </c>
    </row>
    <row r="11" customFormat="false" ht="15" hidden="false" customHeight="false" outlineLevel="0" collapsed="false">
      <c r="A11" s="6" t="s">
        <v>33</v>
      </c>
      <c r="B11" s="6" t="s">
        <v>34</v>
      </c>
      <c r="C11" s="8" t="n">
        <v>85</v>
      </c>
      <c r="D11" s="10" t="n">
        <v>30</v>
      </c>
      <c r="E11" s="19" t="n">
        <f aca="false">D11/60*$C$4</f>
        <v>125</v>
      </c>
      <c r="F11" s="8" t="n">
        <v>18</v>
      </c>
      <c r="G11" s="6" t="n">
        <v>16</v>
      </c>
      <c r="H11" s="19" t="n">
        <f aca="false">C11+E11+F11</f>
        <v>228</v>
      </c>
      <c r="I11" s="8" t="n">
        <v>349</v>
      </c>
      <c r="J11" s="9" t="n">
        <f aca="false">IF(I11=0,0,(I11-H11)/I11)</f>
        <v>0.346704871060172</v>
      </c>
      <c r="K11" s="6" t="s">
        <v>35</v>
      </c>
    </row>
    <row r="12" customFormat="false" ht="15" hidden="false" customHeight="false" outlineLevel="0" collapsed="false">
      <c r="A12" s="6" t="s">
        <v>37</v>
      </c>
      <c r="B12" s="6" t="s">
        <v>38</v>
      </c>
      <c r="C12" s="8" t="n">
        <v>18</v>
      </c>
      <c r="D12" s="10" t="n">
        <v>8</v>
      </c>
      <c r="E12" s="19" t="n">
        <f aca="false">D12/60*$C$4</f>
        <v>33.3333333333333</v>
      </c>
      <c r="F12" s="8" t="n">
        <v>5</v>
      </c>
      <c r="G12" s="6" t="n">
        <v>60</v>
      </c>
      <c r="H12" s="19" t="n">
        <f aca="false">C12+E12+F12</f>
        <v>56.3333333333333</v>
      </c>
      <c r="I12" s="8" t="n">
        <v>79</v>
      </c>
      <c r="J12" s="9" t="n">
        <f aca="false">IF(I12=0,0,(I12-H12)/I12)</f>
        <v>0.286919831223629</v>
      </c>
      <c r="K12" s="6" t="s">
        <v>39</v>
      </c>
    </row>
    <row r="13" customFormat="false" ht="15" hidden="false" customHeight="false" outlineLevel="0" collapsed="false">
      <c r="A13" s="6" t="s">
        <v>41</v>
      </c>
      <c r="B13" s="6" t="s">
        <v>42</v>
      </c>
      <c r="C13" s="8" t="n">
        <v>70</v>
      </c>
      <c r="D13" s="10" t="n">
        <v>25</v>
      </c>
      <c r="E13" s="19" t="n">
        <f aca="false">D13/60*$C$4</f>
        <v>104.166666666667</v>
      </c>
      <c r="F13" s="8" t="n">
        <v>20</v>
      </c>
      <c r="G13" s="6" t="n">
        <v>19</v>
      </c>
      <c r="H13" s="19" t="n">
        <f aca="false">C13+E13+F13</f>
        <v>194.166666666667</v>
      </c>
      <c r="I13" s="8" t="n">
        <v>329</v>
      </c>
      <c r="J13" s="9" t="n">
        <f aca="false">IF(I13=0,0,(I13-H13)/I13)</f>
        <v>0.409827760891591</v>
      </c>
      <c r="K13" s="6" t="s">
        <v>43</v>
      </c>
    </row>
    <row r="14" customFormat="false" ht="15" hidden="false" customHeight="false" outlineLevel="0" collapsed="false">
      <c r="A14" s="6" t="s">
        <v>45</v>
      </c>
      <c r="B14" s="6" t="s">
        <v>46</v>
      </c>
      <c r="C14" s="8" t="n">
        <v>40</v>
      </c>
      <c r="D14" s="10" t="n">
        <v>10</v>
      </c>
      <c r="E14" s="19" t="n">
        <f aca="false">D14/60*$C$4</f>
        <v>41.6666666666667</v>
      </c>
      <c r="F14" s="8" t="n">
        <v>8</v>
      </c>
      <c r="G14" s="6" t="n">
        <v>48</v>
      </c>
      <c r="H14" s="19" t="n">
        <f aca="false">C14+E14+F14</f>
        <v>89.6666666666667</v>
      </c>
      <c r="I14" s="8" t="n">
        <v>149</v>
      </c>
      <c r="J14" s="9" t="n">
        <f aca="false">IF(I14=0,0,(I14-H14)/I14)</f>
        <v>0.398210290827741</v>
      </c>
      <c r="K14" s="6" t="s">
        <v>47</v>
      </c>
    </row>
    <row r="15" customFormat="false" ht="15" hidden="false" customHeight="false" outlineLevel="0" collapsed="false">
      <c r="A15" s="6" t="s">
        <v>48</v>
      </c>
      <c r="B15" s="6" t="s">
        <v>49</v>
      </c>
      <c r="C15" s="8" t="n">
        <v>55</v>
      </c>
      <c r="D15" s="10" t="n">
        <v>12</v>
      </c>
      <c r="E15" s="19" t="n">
        <f aca="false">D15/60*$C$4</f>
        <v>50</v>
      </c>
      <c r="F15" s="8" t="n">
        <v>0</v>
      </c>
      <c r="G15" s="6" t="n">
        <v>40</v>
      </c>
      <c r="H15" s="19" t="n">
        <f aca="false">C15+E15+F15</f>
        <v>105</v>
      </c>
      <c r="I15" s="8" t="n">
        <v>199</v>
      </c>
      <c r="J15" s="9" t="n">
        <f aca="false">IF(I15=0,0,(I15-H15)/I15)</f>
        <v>0.472361809045226</v>
      </c>
      <c r="K15" s="6" t="s">
        <v>50</v>
      </c>
    </row>
    <row r="16" customFormat="false" ht="15" hidden="false" customHeight="false" outlineLevel="0" collapsed="false">
      <c r="A16" s="6" t="s">
        <v>52</v>
      </c>
      <c r="B16" s="6" t="s">
        <v>53</v>
      </c>
      <c r="C16" s="8" t="n">
        <v>45</v>
      </c>
      <c r="D16" s="10" t="n">
        <v>20</v>
      </c>
      <c r="E16" s="19" t="n">
        <f aca="false">D16/60*$C$4</f>
        <v>83.3333333333333</v>
      </c>
      <c r="F16" s="8" t="n">
        <v>12</v>
      </c>
      <c r="G16" s="6" t="n">
        <v>24</v>
      </c>
      <c r="H16" s="19" t="n">
        <f aca="false">C16+E16+F16</f>
        <v>140.333333333333</v>
      </c>
      <c r="I16" s="8" t="n">
        <v>229</v>
      </c>
      <c r="J16" s="9" t="n">
        <f aca="false">IF(I16=0,0,(I16-H16)/I16)</f>
        <v>0.387190684133916</v>
      </c>
      <c r="K16" s="6" t="s">
        <v>54</v>
      </c>
    </row>
    <row r="17" customFormat="false" ht="15" hidden="false" customHeight="false" outlineLevel="0" collapsed="false">
      <c r="A17" s="6" t="s">
        <v>56</v>
      </c>
      <c r="B17" s="6" t="s">
        <v>57</v>
      </c>
      <c r="C17" s="8" t="n">
        <v>22</v>
      </c>
      <c r="D17" s="10" t="n">
        <v>6</v>
      </c>
      <c r="E17" s="19" t="n">
        <f aca="false">D17/60*$C$4</f>
        <v>25</v>
      </c>
      <c r="F17" s="8" t="n">
        <v>0</v>
      </c>
      <c r="G17" s="6" t="n">
        <v>80</v>
      </c>
      <c r="H17" s="19" t="n">
        <f aca="false">C17+E17+F17</f>
        <v>47</v>
      </c>
      <c r="I17" s="8" t="n">
        <v>89</v>
      </c>
      <c r="J17" s="9" t="n">
        <f aca="false">IF(I17=0,0,(I17-H17)/I17)</f>
        <v>0.471910112359551</v>
      </c>
      <c r="K17" s="6" t="s">
        <v>39</v>
      </c>
    </row>
    <row r="18" customFormat="false" ht="15" hidden="false" customHeight="false" outlineLevel="0" collapsed="false">
      <c r="A18" s="6" t="s">
        <v>59</v>
      </c>
      <c r="B18" s="6" t="s">
        <v>60</v>
      </c>
      <c r="C18" s="8" t="n">
        <v>95</v>
      </c>
      <c r="D18" s="10" t="n">
        <v>40</v>
      </c>
      <c r="E18" s="19" t="n">
        <f aca="false">D18/60*$C$4</f>
        <v>166.666666666667</v>
      </c>
      <c r="F18" s="8" t="n">
        <v>15</v>
      </c>
      <c r="G18" s="6" t="n">
        <v>12</v>
      </c>
      <c r="H18" s="19" t="n">
        <f aca="false">C18+E18+F18</f>
        <v>276.666666666667</v>
      </c>
      <c r="I18" s="8" t="n">
        <v>449</v>
      </c>
      <c r="J18" s="9" t="n">
        <f aca="false">IF(I18=0,0,(I18-H18)/I18)</f>
        <v>0.383815887156645</v>
      </c>
      <c r="K18" s="6" t="s">
        <v>61</v>
      </c>
    </row>
    <row r="20" customFormat="false" ht="15" hidden="false" customHeight="false" outlineLevel="0" collapsed="false">
      <c r="A20" s="2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5" min="4" style="0" width="14"/>
    <col collapsed="false" customWidth="true" hidden="false" outlineLevel="0" max="6" min="6" style="0" width="26"/>
  </cols>
  <sheetData>
    <row r="1" customFormat="false" ht="19.7" hidden="false" customHeight="false" outlineLevel="0" collapsed="false">
      <c r="A1" s="1" t="s">
        <v>243</v>
      </c>
    </row>
    <row r="2" customFormat="false" ht="15" hidden="false" customHeight="false" outlineLevel="0" collapsed="false">
      <c r="A2" s="2" t="s">
        <v>244</v>
      </c>
    </row>
    <row r="4" customFormat="false" ht="16.15" hidden="false" customHeight="false" outlineLevel="0" collapsed="false">
      <c r="A4" s="20" t="s">
        <v>245</v>
      </c>
      <c r="B4" s="21"/>
      <c r="C4" s="21"/>
      <c r="D4" s="21"/>
      <c r="E4" s="21"/>
      <c r="F4" s="21"/>
    </row>
    <row r="5" customFormat="false" ht="15" hidden="false" customHeight="false" outlineLevel="0" collapsed="false">
      <c r="A5" s="2" t="s">
        <v>246</v>
      </c>
    </row>
    <row r="7" customFormat="false" ht="15" hidden="false" customHeight="false" outlineLevel="0" collapsed="false">
      <c r="A7" s="22" t="s">
        <v>247</v>
      </c>
      <c r="B7" s="23"/>
      <c r="C7" s="23"/>
      <c r="D7" s="23"/>
      <c r="E7" s="23"/>
      <c r="F7" s="23"/>
    </row>
    <row r="8" customFormat="false" ht="15" hidden="false" customHeight="false" outlineLevel="0" collapsed="false">
      <c r="A8" s="4" t="s">
        <v>3</v>
      </c>
      <c r="B8" s="4" t="s">
        <v>222</v>
      </c>
      <c r="C8" s="4" t="s">
        <v>248</v>
      </c>
      <c r="D8" s="4" t="s">
        <v>7</v>
      </c>
      <c r="E8" s="4" t="s">
        <v>249</v>
      </c>
      <c r="F8" s="4" t="s">
        <v>250</v>
      </c>
    </row>
    <row r="9" customFormat="false" ht="15" hidden="false" customHeight="false" outlineLevel="0" collapsed="false">
      <c r="A9" s="6" t="s">
        <v>123</v>
      </c>
      <c r="B9" s="6" t="s">
        <v>251</v>
      </c>
      <c r="C9" s="10" t="n">
        <v>1</v>
      </c>
      <c r="D9" s="7" t="n">
        <f aca="false">IFERROR(INDEX('Master Products'!$E:$E,MATCH($A9,'Master Products'!$A:$A,0)),0)</f>
        <v>120</v>
      </c>
      <c r="E9" s="19" t="n">
        <f aca="false">C9*D9</f>
        <v>120</v>
      </c>
      <c r="F9" s="6" t="s">
        <v>252</v>
      </c>
    </row>
    <row r="10" customFormat="false" ht="15" hidden="false" customHeight="false" outlineLevel="0" collapsed="false">
      <c r="A10" s="6" t="s">
        <v>198</v>
      </c>
      <c r="B10" s="6" t="s">
        <v>253</v>
      </c>
      <c r="C10" s="10" t="n">
        <v>1</v>
      </c>
      <c r="D10" s="7" t="n">
        <f aca="false">IFERROR(INDEX('Master Products'!$E:$E,MATCH($A10,'Master Products'!$A:$A,0)),0)</f>
        <v>60</v>
      </c>
      <c r="E10" s="19" t="n">
        <f aca="false">C10*D10</f>
        <v>60</v>
      </c>
      <c r="F10" s="6" t="s">
        <v>254</v>
      </c>
    </row>
    <row r="11" customFormat="false" ht="15" hidden="false" customHeight="false" outlineLevel="0" collapsed="false">
      <c r="A11" s="6" t="s">
        <v>70</v>
      </c>
      <c r="B11" s="6" t="s">
        <v>255</v>
      </c>
      <c r="C11" s="10" t="n">
        <v>1</v>
      </c>
      <c r="D11" s="7" t="n">
        <f aca="false">IFERROR(INDEX('Master Products'!$E:$E,MATCH($A11,'Master Products'!$A:$A,0)),0)</f>
        <v>110</v>
      </c>
      <c r="E11" s="19" t="n">
        <f aca="false">C11*D11</f>
        <v>110</v>
      </c>
      <c r="F11" s="6" t="s">
        <v>256</v>
      </c>
    </row>
    <row r="12" customFormat="false" ht="15" hidden="false" customHeight="false" outlineLevel="0" collapsed="false">
      <c r="A12" s="6" t="s">
        <v>175</v>
      </c>
      <c r="B12" s="6" t="s">
        <v>257</v>
      </c>
      <c r="C12" s="10" t="n">
        <v>1</v>
      </c>
      <c r="D12" s="7" t="n">
        <f aca="false">IFERROR(INDEX('Master Products'!$E:$E,MATCH($A12,'Master Products'!$A:$A,0)),0)</f>
        <v>90</v>
      </c>
      <c r="E12" s="19" t="n">
        <f aca="false">C12*D12</f>
        <v>90</v>
      </c>
      <c r="F12" s="6" t="s">
        <v>258</v>
      </c>
    </row>
    <row r="13" customFormat="false" ht="15" hidden="false" customHeight="false" outlineLevel="0" collapsed="false">
      <c r="A13" s="6" t="s">
        <v>37</v>
      </c>
      <c r="B13" s="6" t="s">
        <v>259</v>
      </c>
      <c r="C13" s="10" t="n">
        <v>1</v>
      </c>
      <c r="D13" s="7" t="n">
        <f aca="false">IFERROR(INDEX('Master Products'!$E:$E,MATCH($A13,'Master Products'!$A:$A,0)),0)</f>
        <v>56.3333333333333</v>
      </c>
      <c r="E13" s="19" t="n">
        <f aca="false">C13*D13</f>
        <v>56.3333333333333</v>
      </c>
      <c r="F13" s="6" t="s">
        <v>260</v>
      </c>
    </row>
    <row r="14" customFormat="false" ht="15" hidden="false" customHeight="false" outlineLevel="0" collapsed="false">
      <c r="A14" s="6" t="s">
        <v>218</v>
      </c>
      <c r="B14" s="6" t="s">
        <v>261</v>
      </c>
      <c r="C14" s="10" t="n">
        <v>1</v>
      </c>
      <c r="D14" s="7" t="n">
        <f aca="false">IFERROR(INDEX('Master Products'!$E:$E,MATCH($A14,'Master Products'!$A:$A,0)),0)</f>
        <v>70</v>
      </c>
      <c r="E14" s="19" t="n">
        <f aca="false">C14*D14</f>
        <v>70</v>
      </c>
      <c r="F14" s="6" t="s">
        <v>221</v>
      </c>
    </row>
    <row r="15" customFormat="false" ht="15" hidden="false" customHeight="false" outlineLevel="0" collapsed="false">
      <c r="A15" s="6" t="s">
        <v>227</v>
      </c>
      <c r="B15" s="6" t="s">
        <v>262</v>
      </c>
      <c r="C15" s="10" t="n">
        <v>1</v>
      </c>
      <c r="D15" s="7" t="n">
        <f aca="false">IFERROR(INDEX('Master Products'!$E:$E,MATCH($A15,'Master Products'!$A:$A,0)),0)</f>
        <v>18</v>
      </c>
      <c r="E15" s="19" t="n">
        <f aca="false">C15*D15</f>
        <v>18</v>
      </c>
      <c r="F15" s="6" t="s">
        <v>221</v>
      </c>
    </row>
    <row r="16" customFormat="false" ht="15" hidden="false" customHeight="false" outlineLevel="0" collapsed="false">
      <c r="B16" s="16" t="s">
        <v>263</v>
      </c>
      <c r="E16" s="24" t="n">
        <f aca="false">SUM(E9:E15)</f>
        <v>524.333333333333</v>
      </c>
    </row>
    <row r="17" customFormat="false" ht="15" hidden="false" customHeight="false" outlineLevel="0" collapsed="false">
      <c r="B17" s="16" t="s">
        <v>264</v>
      </c>
      <c r="E17" s="25" t="n">
        <v>1.9</v>
      </c>
    </row>
    <row r="18" customFormat="false" ht="15" hidden="false" customHeight="false" outlineLevel="0" collapsed="false">
      <c r="B18" s="16" t="s">
        <v>265</v>
      </c>
      <c r="E18" s="26" t="n">
        <f aca="false">ROUND(E16*E17/50,0)*50-1</f>
        <v>999</v>
      </c>
    </row>
    <row r="19" customFormat="false" ht="15" hidden="false" customHeight="false" outlineLevel="0" collapsed="false">
      <c r="B19" s="16" t="s">
        <v>266</v>
      </c>
      <c r="E19" s="27" t="n">
        <f aca="false">IF(E18=0,0,(E18-E16)/E18)</f>
        <v>0.475141808475142</v>
      </c>
    </row>
    <row r="22" customFormat="false" ht="15" hidden="false" customHeight="false" outlineLevel="0" collapsed="false">
      <c r="A22" s="22" t="s">
        <v>267</v>
      </c>
      <c r="B22" s="23"/>
      <c r="C22" s="23"/>
      <c r="D22" s="23"/>
      <c r="E22" s="23"/>
      <c r="F22" s="23"/>
    </row>
    <row r="23" customFormat="false" ht="15" hidden="false" customHeight="false" outlineLevel="0" collapsed="false">
      <c r="A23" s="4" t="s">
        <v>3</v>
      </c>
      <c r="B23" s="4" t="s">
        <v>222</v>
      </c>
      <c r="C23" s="4" t="s">
        <v>248</v>
      </c>
      <c r="D23" s="4" t="s">
        <v>7</v>
      </c>
      <c r="E23" s="4" t="s">
        <v>249</v>
      </c>
      <c r="F23" s="4" t="s">
        <v>250</v>
      </c>
    </row>
    <row r="24" customFormat="false" ht="15" hidden="false" customHeight="false" outlineLevel="0" collapsed="false">
      <c r="A24" s="6" t="s">
        <v>120</v>
      </c>
      <c r="B24" s="6" t="s">
        <v>268</v>
      </c>
      <c r="C24" s="10" t="n">
        <v>1</v>
      </c>
      <c r="D24" s="7" t="n">
        <f aca="false">IFERROR(INDEX('Master Products'!$E:$E,MATCH($A24,'Master Products'!$A:$A,0)),0)</f>
        <v>160</v>
      </c>
      <c r="E24" s="19" t="n">
        <f aca="false">C24*D24</f>
        <v>160</v>
      </c>
      <c r="F24" s="6" t="s">
        <v>269</v>
      </c>
    </row>
    <row r="25" customFormat="false" ht="15" hidden="false" customHeight="false" outlineLevel="0" collapsed="false">
      <c r="A25" s="6" t="s">
        <v>145</v>
      </c>
      <c r="B25" s="6" t="s">
        <v>270</v>
      </c>
      <c r="C25" s="10" t="n">
        <v>1</v>
      </c>
      <c r="D25" s="7" t="n">
        <f aca="false">IFERROR(INDEX('Master Products'!$E:$E,MATCH($A25,'Master Products'!$A:$A,0)),0)</f>
        <v>70</v>
      </c>
      <c r="E25" s="19" t="n">
        <f aca="false">C25*D25</f>
        <v>70</v>
      </c>
      <c r="F25" s="6" t="s">
        <v>271</v>
      </c>
    </row>
    <row r="26" customFormat="false" ht="15" hidden="false" customHeight="false" outlineLevel="0" collapsed="false">
      <c r="A26" s="6" t="s">
        <v>59</v>
      </c>
      <c r="B26" s="6" t="s">
        <v>272</v>
      </c>
      <c r="C26" s="10" t="n">
        <v>1</v>
      </c>
      <c r="D26" s="7" t="n">
        <f aca="false">IFERROR(INDEX('Master Products'!$E:$E,MATCH($A26,'Master Products'!$A:$A,0)),0)</f>
        <v>276.666666666667</v>
      </c>
      <c r="E26" s="19" t="n">
        <f aca="false">C26*D26</f>
        <v>276.666666666667</v>
      </c>
      <c r="F26" s="6" t="s">
        <v>273</v>
      </c>
    </row>
    <row r="27" customFormat="false" ht="15" hidden="false" customHeight="false" outlineLevel="0" collapsed="false">
      <c r="A27" s="6" t="s">
        <v>94</v>
      </c>
      <c r="B27" s="6" t="s">
        <v>274</v>
      </c>
      <c r="C27" s="10" t="n">
        <v>1</v>
      </c>
      <c r="D27" s="7" t="n">
        <f aca="false">IFERROR(INDEX('Master Products'!$E:$E,MATCH($A27,'Master Products'!$A:$A,0)),0)</f>
        <v>140</v>
      </c>
      <c r="E27" s="19" t="n">
        <f aca="false">C27*D27</f>
        <v>140</v>
      </c>
      <c r="F27" s="6" t="s">
        <v>275</v>
      </c>
    </row>
    <row r="28" customFormat="false" ht="15" hidden="false" customHeight="false" outlineLevel="0" collapsed="false">
      <c r="A28" s="6" t="s">
        <v>133</v>
      </c>
      <c r="B28" s="6" t="s">
        <v>276</v>
      </c>
      <c r="C28" s="10" t="n">
        <v>1</v>
      </c>
      <c r="D28" s="7" t="n">
        <f aca="false">IFERROR(INDEX('Master Products'!$E:$E,MATCH($A28,'Master Products'!$A:$A,0)),0)</f>
        <v>110</v>
      </c>
      <c r="E28" s="19" t="n">
        <f aca="false">C28*D28</f>
        <v>110</v>
      </c>
      <c r="F28" s="6" t="s">
        <v>277</v>
      </c>
    </row>
    <row r="29" customFormat="false" ht="15" hidden="false" customHeight="false" outlineLevel="0" collapsed="false">
      <c r="A29" s="6" t="s">
        <v>37</v>
      </c>
      <c r="B29" s="6" t="s">
        <v>259</v>
      </c>
      <c r="C29" s="10" t="n">
        <v>1</v>
      </c>
      <c r="D29" s="7" t="n">
        <f aca="false">IFERROR(INDEX('Master Products'!$E:$E,MATCH($A29,'Master Products'!$A:$A,0)),0)</f>
        <v>56.3333333333333</v>
      </c>
      <c r="E29" s="19" t="n">
        <f aca="false">C29*D29</f>
        <v>56.3333333333333</v>
      </c>
      <c r="F29" s="6"/>
    </row>
    <row r="30" customFormat="false" ht="15" hidden="false" customHeight="false" outlineLevel="0" collapsed="false">
      <c r="A30" s="6" t="s">
        <v>223</v>
      </c>
      <c r="B30" s="6" t="s">
        <v>278</v>
      </c>
      <c r="C30" s="10" t="n">
        <v>1</v>
      </c>
      <c r="D30" s="7" t="n">
        <f aca="false">IFERROR(INDEX('Master Products'!$E:$E,MATCH($A30,'Master Products'!$A:$A,0)),0)</f>
        <v>105</v>
      </c>
      <c r="E30" s="19" t="n">
        <f aca="false">C30*D30</f>
        <v>105</v>
      </c>
      <c r="F30" s="6" t="s">
        <v>221</v>
      </c>
    </row>
    <row r="31" customFormat="false" ht="15" hidden="false" customHeight="false" outlineLevel="0" collapsed="false">
      <c r="A31" s="6" t="s">
        <v>227</v>
      </c>
      <c r="B31" s="6" t="s">
        <v>262</v>
      </c>
      <c r="C31" s="10" t="n">
        <v>1</v>
      </c>
      <c r="D31" s="7" t="n">
        <f aca="false">IFERROR(INDEX('Master Products'!$E:$E,MATCH($A31,'Master Products'!$A:$A,0)),0)</f>
        <v>18</v>
      </c>
      <c r="E31" s="19" t="n">
        <f aca="false">C31*D31</f>
        <v>18</v>
      </c>
      <c r="F31" s="6" t="s">
        <v>221</v>
      </c>
    </row>
    <row r="32" customFormat="false" ht="15" hidden="false" customHeight="false" outlineLevel="0" collapsed="false">
      <c r="B32" s="16" t="s">
        <v>263</v>
      </c>
      <c r="E32" s="24" t="n">
        <f aca="false">SUM(E24:E31)</f>
        <v>936</v>
      </c>
    </row>
    <row r="33" customFormat="false" ht="15" hidden="false" customHeight="false" outlineLevel="0" collapsed="false">
      <c r="B33" s="16" t="s">
        <v>264</v>
      </c>
      <c r="E33" s="25" t="n">
        <v>2</v>
      </c>
    </row>
    <row r="34" customFormat="false" ht="15" hidden="false" customHeight="false" outlineLevel="0" collapsed="false">
      <c r="B34" s="16" t="s">
        <v>265</v>
      </c>
      <c r="E34" s="26" t="n">
        <f aca="false">ROUND(E32*E33/50,0)*50-1</f>
        <v>1849</v>
      </c>
    </row>
    <row r="35" customFormat="false" ht="15" hidden="false" customHeight="false" outlineLevel="0" collapsed="false">
      <c r="B35" s="16" t="s">
        <v>266</v>
      </c>
      <c r="E35" s="27" t="n">
        <f aca="false">IF(E34=0,0,(E34-E32)/E34)</f>
        <v>0.493780421849648</v>
      </c>
    </row>
    <row r="38" customFormat="false" ht="15" hidden="false" customHeight="false" outlineLevel="0" collapsed="false">
      <c r="A38" s="22" t="s">
        <v>279</v>
      </c>
      <c r="B38" s="23"/>
      <c r="C38" s="23"/>
      <c r="D38" s="23"/>
      <c r="E38" s="23"/>
      <c r="F38" s="23"/>
    </row>
    <row r="39" customFormat="false" ht="15" hidden="false" customHeight="false" outlineLevel="0" collapsed="false">
      <c r="A39" s="4" t="s">
        <v>3</v>
      </c>
      <c r="B39" s="4" t="s">
        <v>222</v>
      </c>
      <c r="C39" s="4" t="s">
        <v>248</v>
      </c>
      <c r="D39" s="4" t="s">
        <v>7</v>
      </c>
      <c r="E39" s="4" t="s">
        <v>249</v>
      </c>
      <c r="F39" s="4" t="s">
        <v>250</v>
      </c>
    </row>
    <row r="40" customFormat="false" ht="15" hidden="false" customHeight="false" outlineLevel="0" collapsed="false">
      <c r="A40" s="6" t="s">
        <v>15</v>
      </c>
      <c r="B40" s="6" t="s">
        <v>280</v>
      </c>
      <c r="C40" s="10" t="n">
        <v>1</v>
      </c>
      <c r="D40" s="7" t="n">
        <f aca="false">IFERROR(INDEX('Master Products'!$E:$E,MATCH($A40,'Master Products'!$A:$A,0)),0)</f>
        <v>383.833333333333</v>
      </c>
      <c r="E40" s="19" t="n">
        <f aca="false">C40*D40</f>
        <v>383.833333333333</v>
      </c>
      <c r="F40" s="6" t="s">
        <v>281</v>
      </c>
    </row>
    <row r="41" customFormat="false" ht="15" hidden="false" customHeight="false" outlineLevel="0" collapsed="false">
      <c r="A41" s="6" t="s">
        <v>130</v>
      </c>
      <c r="B41" s="6" t="s">
        <v>282</v>
      </c>
      <c r="C41" s="10" t="n">
        <v>1</v>
      </c>
      <c r="D41" s="7" t="n">
        <f aca="false">IFERROR(INDEX('Master Products'!$E:$E,MATCH($A41,'Master Products'!$A:$A,0)),0)</f>
        <v>210</v>
      </c>
      <c r="E41" s="19" t="n">
        <f aca="false">C41*D41</f>
        <v>210</v>
      </c>
      <c r="F41" s="6" t="s">
        <v>283</v>
      </c>
    </row>
    <row r="42" customFormat="false" ht="15" hidden="false" customHeight="false" outlineLevel="0" collapsed="false">
      <c r="A42" s="6" t="s">
        <v>109</v>
      </c>
      <c r="B42" s="6" t="s">
        <v>284</v>
      </c>
      <c r="C42" s="10" t="n">
        <v>1</v>
      </c>
      <c r="D42" s="7" t="n">
        <f aca="false">IFERROR(INDEX('Master Products'!$E:$E,MATCH($A42,'Master Products'!$A:$A,0)),0)</f>
        <v>170</v>
      </c>
      <c r="E42" s="19" t="n">
        <f aca="false">C42*D42</f>
        <v>170</v>
      </c>
      <c r="F42" s="6" t="s">
        <v>285</v>
      </c>
    </row>
    <row r="43" customFormat="false" ht="15" hidden="false" customHeight="false" outlineLevel="0" collapsed="false">
      <c r="A43" s="6" t="s">
        <v>102</v>
      </c>
      <c r="B43" s="6" t="s">
        <v>286</v>
      </c>
      <c r="C43" s="10" t="n">
        <v>1</v>
      </c>
      <c r="D43" s="7" t="n">
        <f aca="false">IFERROR(INDEX('Master Products'!$E:$E,MATCH($A43,'Master Products'!$A:$A,0)),0)</f>
        <v>150</v>
      </c>
      <c r="E43" s="19" t="n">
        <f aca="false">C43*D43</f>
        <v>150</v>
      </c>
      <c r="F43" s="6"/>
    </row>
    <row r="44" customFormat="false" ht="15" hidden="false" customHeight="false" outlineLevel="0" collapsed="false">
      <c r="A44" s="6" t="s">
        <v>25</v>
      </c>
      <c r="B44" s="6" t="s">
        <v>287</v>
      </c>
      <c r="C44" s="10" t="n">
        <v>1</v>
      </c>
      <c r="D44" s="7" t="n">
        <f aca="false">IFERROR(INDEX('Master Products'!$E:$E,MATCH($A44,'Master Products'!$A:$A,0)),0)</f>
        <v>192</v>
      </c>
      <c r="E44" s="19" t="n">
        <f aca="false">C44*D44</f>
        <v>192</v>
      </c>
      <c r="F44" s="6" t="s">
        <v>288</v>
      </c>
    </row>
    <row r="45" customFormat="false" ht="15" hidden="false" customHeight="false" outlineLevel="0" collapsed="false">
      <c r="A45" s="6" t="s">
        <v>37</v>
      </c>
      <c r="B45" s="6" t="s">
        <v>259</v>
      </c>
      <c r="C45" s="10" t="n">
        <v>1</v>
      </c>
      <c r="D45" s="7" t="n">
        <f aca="false">IFERROR(INDEX('Master Products'!$E:$E,MATCH($A45,'Master Products'!$A:$A,0)),0)</f>
        <v>56.3333333333333</v>
      </c>
      <c r="E45" s="19" t="n">
        <f aca="false">C45*D45</f>
        <v>56.3333333333333</v>
      </c>
      <c r="F45" s="6"/>
    </row>
    <row r="46" customFormat="false" ht="15" hidden="false" customHeight="false" outlineLevel="0" collapsed="false">
      <c r="A46" s="6" t="s">
        <v>225</v>
      </c>
      <c r="B46" s="6" t="s">
        <v>289</v>
      </c>
      <c r="C46" s="10" t="n">
        <v>1</v>
      </c>
      <c r="D46" s="7" t="n">
        <f aca="false">IFERROR(INDEX('Master Products'!$E:$E,MATCH($A46,'Master Products'!$A:$A,0)),0)</f>
        <v>150</v>
      </c>
      <c r="E46" s="19" t="n">
        <f aca="false">C46*D46</f>
        <v>150</v>
      </c>
      <c r="F46" s="6" t="s">
        <v>221</v>
      </c>
    </row>
    <row r="47" customFormat="false" ht="15" hidden="false" customHeight="false" outlineLevel="0" collapsed="false">
      <c r="A47" s="6" t="s">
        <v>227</v>
      </c>
      <c r="B47" s="6" t="s">
        <v>262</v>
      </c>
      <c r="C47" s="10" t="n">
        <v>1</v>
      </c>
      <c r="D47" s="7" t="n">
        <f aca="false">IFERROR(INDEX('Master Products'!$E:$E,MATCH($A47,'Master Products'!$A:$A,0)),0)</f>
        <v>18</v>
      </c>
      <c r="E47" s="19" t="n">
        <f aca="false">C47*D47</f>
        <v>18</v>
      </c>
      <c r="F47" s="6" t="s">
        <v>221</v>
      </c>
    </row>
    <row r="48" customFormat="false" ht="15" hidden="false" customHeight="false" outlineLevel="0" collapsed="false">
      <c r="B48" s="16" t="s">
        <v>263</v>
      </c>
      <c r="E48" s="24" t="n">
        <f aca="false">SUM(E40:E47)</f>
        <v>1330.16666666667</v>
      </c>
    </row>
    <row r="49" customFormat="false" ht="15" hidden="false" customHeight="false" outlineLevel="0" collapsed="false">
      <c r="B49" s="16" t="s">
        <v>264</v>
      </c>
      <c r="E49" s="25" t="n">
        <v>2.1</v>
      </c>
    </row>
    <row r="50" customFormat="false" ht="15" hidden="false" customHeight="false" outlineLevel="0" collapsed="false">
      <c r="B50" s="16" t="s">
        <v>265</v>
      </c>
      <c r="E50" s="26" t="n">
        <f aca="false">ROUND(E48*E49/50,0)*50-1</f>
        <v>2799</v>
      </c>
    </row>
    <row r="51" customFormat="false" ht="15" hidden="false" customHeight="false" outlineLevel="0" collapsed="false">
      <c r="B51" s="16" t="s">
        <v>266</v>
      </c>
      <c r="E51" s="27" t="n">
        <f aca="false">IF(E50=0,0,(E50-E48)/E50)</f>
        <v>0.524770751458854</v>
      </c>
    </row>
    <row r="55" customFormat="false" ht="16.15" hidden="false" customHeight="false" outlineLevel="0" collapsed="false">
      <c r="A55" s="20" t="s">
        <v>290</v>
      </c>
      <c r="B55" s="21"/>
      <c r="C55" s="21"/>
      <c r="D55" s="21"/>
      <c r="E55" s="21"/>
      <c r="F55" s="21"/>
    </row>
    <row r="56" customFormat="false" ht="15" hidden="false" customHeight="false" outlineLevel="0" collapsed="false">
      <c r="A56" s="2" t="s">
        <v>291</v>
      </c>
    </row>
    <row r="58" customFormat="false" ht="15" hidden="false" customHeight="false" outlineLevel="0" collapsed="false">
      <c r="A58" s="22" t="s">
        <v>292</v>
      </c>
      <c r="B58" s="23"/>
      <c r="C58" s="23"/>
      <c r="D58" s="23"/>
      <c r="E58" s="23"/>
      <c r="F58" s="23"/>
    </row>
    <row r="59" customFormat="false" ht="15" hidden="false" customHeight="false" outlineLevel="0" collapsed="false">
      <c r="A59" s="4" t="s">
        <v>3</v>
      </c>
      <c r="B59" s="4" t="s">
        <v>222</v>
      </c>
      <c r="C59" s="4" t="s">
        <v>248</v>
      </c>
      <c r="D59" s="4" t="s">
        <v>7</v>
      </c>
      <c r="E59" s="4" t="s">
        <v>249</v>
      </c>
      <c r="F59" s="4" t="s">
        <v>250</v>
      </c>
    </row>
    <row r="60" customFormat="false" ht="15" hidden="false" customHeight="false" outlineLevel="0" collapsed="false">
      <c r="A60" s="6" t="s">
        <v>127</v>
      </c>
      <c r="B60" s="6" t="s">
        <v>293</v>
      </c>
      <c r="C60" s="10" t="n">
        <v>1</v>
      </c>
      <c r="D60" s="7" t="n">
        <f aca="false">IFERROR(INDEX('Master Products'!$E:$E,MATCH($A60,'Master Products'!$A:$A,0)),0)</f>
        <v>90</v>
      </c>
      <c r="E60" s="19" t="n">
        <f aca="false">C60*D60</f>
        <v>90</v>
      </c>
      <c r="F60" s="6" t="s">
        <v>294</v>
      </c>
    </row>
    <row r="61" customFormat="false" ht="15" hidden="false" customHeight="false" outlineLevel="0" collapsed="false">
      <c r="A61" s="6" t="s">
        <v>94</v>
      </c>
      <c r="B61" s="6" t="s">
        <v>274</v>
      </c>
      <c r="C61" s="10" t="n">
        <v>1</v>
      </c>
      <c r="D61" s="7" t="n">
        <f aca="false">IFERROR(INDEX('Master Products'!$E:$E,MATCH($A61,'Master Products'!$A:$A,0)),0)</f>
        <v>140</v>
      </c>
      <c r="E61" s="19" t="n">
        <f aca="false">C61*D61</f>
        <v>140</v>
      </c>
      <c r="F61" s="6" t="s">
        <v>295</v>
      </c>
    </row>
    <row r="62" customFormat="false" ht="15" hidden="false" customHeight="false" outlineLevel="0" collapsed="false">
      <c r="A62" s="6" t="s">
        <v>201</v>
      </c>
      <c r="B62" s="6" t="s">
        <v>296</v>
      </c>
      <c r="C62" s="10" t="n">
        <v>1</v>
      </c>
      <c r="D62" s="7" t="n">
        <f aca="false">IFERROR(INDEX('Master Products'!$E:$E,MATCH($A62,'Master Products'!$A:$A,0)),0)</f>
        <v>80</v>
      </c>
      <c r="E62" s="19" t="n">
        <f aca="false">C62*D62</f>
        <v>80</v>
      </c>
      <c r="F62" s="6" t="s">
        <v>297</v>
      </c>
    </row>
    <row r="63" customFormat="false" ht="15" hidden="false" customHeight="false" outlineLevel="0" collapsed="false">
      <c r="A63" s="6" t="s">
        <v>37</v>
      </c>
      <c r="B63" s="6" t="s">
        <v>259</v>
      </c>
      <c r="C63" s="10" t="n">
        <v>1</v>
      </c>
      <c r="D63" s="7" t="n">
        <f aca="false">IFERROR(INDEX('Master Products'!$E:$E,MATCH($A63,'Master Products'!$A:$A,0)),0)</f>
        <v>56.3333333333333</v>
      </c>
      <c r="E63" s="19" t="n">
        <f aca="false">C63*D63</f>
        <v>56.3333333333333</v>
      </c>
      <c r="F63" s="6" t="s">
        <v>298</v>
      </c>
    </row>
    <row r="64" customFormat="false" ht="15" hidden="false" customHeight="false" outlineLevel="0" collapsed="false">
      <c r="A64" s="6" t="s">
        <v>218</v>
      </c>
      <c r="B64" s="6" t="s">
        <v>299</v>
      </c>
      <c r="C64" s="10" t="n">
        <v>1</v>
      </c>
      <c r="D64" s="7" t="n">
        <f aca="false">IFERROR(INDEX('Master Products'!$E:$E,MATCH($A64,'Master Products'!$A:$A,0)),0)</f>
        <v>70</v>
      </c>
      <c r="E64" s="19" t="n">
        <f aca="false">C64*D64</f>
        <v>70</v>
      </c>
      <c r="F64" s="6" t="s">
        <v>221</v>
      </c>
    </row>
    <row r="65" customFormat="false" ht="15" hidden="false" customHeight="false" outlineLevel="0" collapsed="false">
      <c r="A65" s="6" t="s">
        <v>227</v>
      </c>
      <c r="B65" s="6" t="s">
        <v>262</v>
      </c>
      <c r="C65" s="10" t="n">
        <v>1</v>
      </c>
      <c r="D65" s="7" t="n">
        <f aca="false">IFERROR(INDEX('Master Products'!$E:$E,MATCH($A65,'Master Products'!$A:$A,0)),0)</f>
        <v>18</v>
      </c>
      <c r="E65" s="19" t="n">
        <f aca="false">C65*D65</f>
        <v>18</v>
      </c>
      <c r="F65" s="6" t="s">
        <v>221</v>
      </c>
    </row>
    <row r="66" customFormat="false" ht="15" hidden="false" customHeight="false" outlineLevel="0" collapsed="false">
      <c r="B66" s="16" t="s">
        <v>263</v>
      </c>
      <c r="E66" s="24" t="n">
        <f aca="false">SUM(E60:E65)</f>
        <v>454.333333333333</v>
      </c>
    </row>
    <row r="67" customFormat="false" ht="15" hidden="false" customHeight="false" outlineLevel="0" collapsed="false">
      <c r="B67" s="16" t="s">
        <v>264</v>
      </c>
      <c r="E67" s="25" t="n">
        <v>1.9</v>
      </c>
    </row>
    <row r="68" customFormat="false" ht="15" hidden="false" customHeight="false" outlineLevel="0" collapsed="false">
      <c r="B68" s="16" t="s">
        <v>265</v>
      </c>
      <c r="E68" s="26" t="n">
        <f aca="false">ROUND(E66*E67/50,0)*50-1</f>
        <v>849</v>
      </c>
    </row>
    <row r="69" customFormat="false" ht="15" hidden="false" customHeight="false" outlineLevel="0" collapsed="false">
      <c r="B69" s="16" t="s">
        <v>266</v>
      </c>
      <c r="E69" s="27" t="n">
        <f aca="false">IF(E68=0,0,(E68-E66)/E68)</f>
        <v>0.464860620337652</v>
      </c>
    </row>
    <row r="72" customFormat="false" ht="15" hidden="false" customHeight="false" outlineLevel="0" collapsed="false">
      <c r="A72" s="22" t="s">
        <v>300</v>
      </c>
      <c r="B72" s="23"/>
      <c r="C72" s="23"/>
      <c r="D72" s="23"/>
      <c r="E72" s="23"/>
      <c r="F72" s="23"/>
    </row>
    <row r="73" customFormat="false" ht="15" hidden="false" customHeight="false" outlineLevel="0" collapsed="false">
      <c r="A73" s="4" t="s">
        <v>3</v>
      </c>
      <c r="B73" s="4" t="s">
        <v>222</v>
      </c>
      <c r="C73" s="4" t="s">
        <v>248</v>
      </c>
      <c r="D73" s="4" t="s">
        <v>7</v>
      </c>
      <c r="E73" s="4" t="s">
        <v>249</v>
      </c>
      <c r="F73" s="4" t="s">
        <v>250</v>
      </c>
    </row>
    <row r="74" customFormat="false" ht="15" hidden="false" customHeight="false" outlineLevel="0" collapsed="false">
      <c r="A74" s="6" t="s">
        <v>120</v>
      </c>
      <c r="B74" s="6" t="s">
        <v>268</v>
      </c>
      <c r="C74" s="10" t="n">
        <v>1</v>
      </c>
      <c r="D74" s="7" t="n">
        <f aca="false">IFERROR(INDEX('Master Products'!$E:$E,MATCH($A74,'Master Products'!$A:$A,0)),0)</f>
        <v>160</v>
      </c>
      <c r="E74" s="19" t="n">
        <f aca="false">C74*D74</f>
        <v>160</v>
      </c>
      <c r="F74" s="6" t="s">
        <v>301</v>
      </c>
    </row>
    <row r="75" customFormat="false" ht="15" hidden="false" customHeight="false" outlineLevel="0" collapsed="false">
      <c r="A75" s="6" t="s">
        <v>130</v>
      </c>
      <c r="B75" s="6" t="s">
        <v>282</v>
      </c>
      <c r="C75" s="10" t="n">
        <v>1</v>
      </c>
      <c r="D75" s="7" t="n">
        <f aca="false">IFERROR(INDEX('Master Products'!$E:$E,MATCH($A75,'Master Products'!$A:$A,0)),0)</f>
        <v>210</v>
      </c>
      <c r="E75" s="19" t="n">
        <f aca="false">C75*D75</f>
        <v>210</v>
      </c>
      <c r="F75" s="6" t="s">
        <v>302</v>
      </c>
    </row>
    <row r="76" customFormat="false" ht="15" hidden="false" customHeight="false" outlineLevel="0" collapsed="false">
      <c r="A76" s="6" t="s">
        <v>77</v>
      </c>
      <c r="B76" s="6" t="s">
        <v>303</v>
      </c>
      <c r="C76" s="10" t="n">
        <v>1</v>
      </c>
      <c r="D76" s="7" t="n">
        <f aca="false">IFERROR(INDEX('Master Products'!$E:$E,MATCH($A76,'Master Products'!$A:$A,0)),0)</f>
        <v>320</v>
      </c>
      <c r="E76" s="19" t="n">
        <f aca="false">C76*D76</f>
        <v>320</v>
      </c>
      <c r="F76" s="6" t="s">
        <v>304</v>
      </c>
    </row>
    <row r="77" customFormat="false" ht="15" hidden="false" customHeight="false" outlineLevel="0" collapsed="false">
      <c r="A77" s="6" t="s">
        <v>109</v>
      </c>
      <c r="B77" s="6" t="s">
        <v>284</v>
      </c>
      <c r="C77" s="10" t="n">
        <v>1</v>
      </c>
      <c r="D77" s="7" t="n">
        <f aca="false">IFERROR(INDEX('Master Products'!$E:$E,MATCH($A77,'Master Products'!$A:$A,0)),0)</f>
        <v>170</v>
      </c>
      <c r="E77" s="19" t="n">
        <f aca="false">C77*D77</f>
        <v>170</v>
      </c>
      <c r="F77" s="6"/>
    </row>
    <row r="78" customFormat="false" ht="15" hidden="false" customHeight="false" outlineLevel="0" collapsed="false">
      <c r="A78" s="6" t="s">
        <v>37</v>
      </c>
      <c r="B78" s="6" t="s">
        <v>259</v>
      </c>
      <c r="C78" s="10" t="n">
        <v>1</v>
      </c>
      <c r="D78" s="7" t="n">
        <f aca="false">IFERROR(INDEX('Master Products'!$E:$E,MATCH($A78,'Master Products'!$A:$A,0)),0)</f>
        <v>56.3333333333333</v>
      </c>
      <c r="E78" s="19" t="n">
        <f aca="false">C78*D78</f>
        <v>56.3333333333333</v>
      </c>
      <c r="F78" s="6"/>
    </row>
    <row r="79" customFormat="false" ht="15" hidden="false" customHeight="false" outlineLevel="0" collapsed="false">
      <c r="A79" s="6" t="s">
        <v>223</v>
      </c>
      <c r="B79" s="6" t="s">
        <v>278</v>
      </c>
      <c r="C79" s="10" t="n">
        <v>1</v>
      </c>
      <c r="D79" s="7" t="n">
        <f aca="false">IFERROR(INDEX('Master Products'!$E:$E,MATCH($A79,'Master Products'!$A:$A,0)),0)</f>
        <v>105</v>
      </c>
      <c r="E79" s="19" t="n">
        <f aca="false">C79*D79</f>
        <v>105</v>
      </c>
      <c r="F79" s="6" t="s">
        <v>221</v>
      </c>
    </row>
    <row r="80" customFormat="false" ht="15" hidden="false" customHeight="false" outlineLevel="0" collapsed="false">
      <c r="A80" s="6" t="s">
        <v>227</v>
      </c>
      <c r="B80" s="6" t="s">
        <v>262</v>
      </c>
      <c r="C80" s="10" t="n">
        <v>1</v>
      </c>
      <c r="D80" s="7" t="n">
        <f aca="false">IFERROR(INDEX('Master Products'!$E:$E,MATCH($A80,'Master Products'!$A:$A,0)),0)</f>
        <v>18</v>
      </c>
      <c r="E80" s="19" t="n">
        <f aca="false">C80*D80</f>
        <v>18</v>
      </c>
      <c r="F80" s="6" t="s">
        <v>221</v>
      </c>
    </row>
    <row r="81" customFormat="false" ht="15" hidden="false" customHeight="false" outlineLevel="0" collapsed="false">
      <c r="B81" s="16" t="s">
        <v>263</v>
      </c>
      <c r="E81" s="24" t="n">
        <f aca="false">SUM(E74:E80)</f>
        <v>1039.33333333333</v>
      </c>
    </row>
    <row r="82" customFormat="false" ht="15" hidden="false" customHeight="false" outlineLevel="0" collapsed="false">
      <c r="B82" s="16" t="s">
        <v>264</v>
      </c>
      <c r="E82" s="25" t="n">
        <v>2</v>
      </c>
    </row>
    <row r="83" customFormat="false" ht="15" hidden="false" customHeight="false" outlineLevel="0" collapsed="false">
      <c r="B83" s="16" t="s">
        <v>265</v>
      </c>
      <c r="E83" s="26" t="n">
        <f aca="false">ROUND(E81*E82/50,0)*50-1</f>
        <v>2099</v>
      </c>
    </row>
    <row r="84" customFormat="false" ht="15" hidden="false" customHeight="false" outlineLevel="0" collapsed="false">
      <c r="B84" s="16" t="s">
        <v>266</v>
      </c>
      <c r="E84" s="27" t="n">
        <f aca="false">IF(E83=0,0,(E83-E81)/E83)</f>
        <v>0.504843576306178</v>
      </c>
    </row>
    <row r="87" customFormat="false" ht="15" hidden="false" customHeight="false" outlineLevel="0" collapsed="false">
      <c r="A87" s="22" t="s">
        <v>305</v>
      </c>
      <c r="B87" s="23"/>
      <c r="C87" s="23"/>
      <c r="D87" s="23"/>
      <c r="E87" s="23"/>
      <c r="F87" s="23"/>
    </row>
    <row r="88" customFormat="false" ht="15" hidden="false" customHeight="false" outlineLevel="0" collapsed="false">
      <c r="A88" s="4" t="s">
        <v>3</v>
      </c>
      <c r="B88" s="4" t="s">
        <v>222</v>
      </c>
      <c r="C88" s="4" t="s">
        <v>248</v>
      </c>
      <c r="D88" s="4" t="s">
        <v>7</v>
      </c>
      <c r="E88" s="4" t="s">
        <v>249</v>
      </c>
      <c r="F88" s="4" t="s">
        <v>250</v>
      </c>
    </row>
    <row r="89" customFormat="false" ht="15" hidden="false" customHeight="false" outlineLevel="0" collapsed="false">
      <c r="A89" s="6" t="s">
        <v>21</v>
      </c>
      <c r="B89" s="6" t="s">
        <v>306</v>
      </c>
      <c r="C89" s="10" t="n">
        <v>1</v>
      </c>
      <c r="D89" s="7" t="n">
        <f aca="false">IFERROR(INDEX('Master Products'!$E:$E,MATCH($A89,'Master Products'!$A:$A,0)),0)</f>
        <v>583.333333333333</v>
      </c>
      <c r="E89" s="19" t="n">
        <f aca="false">C89*D89</f>
        <v>583.333333333333</v>
      </c>
      <c r="F89" s="6" t="s">
        <v>307</v>
      </c>
    </row>
    <row r="90" customFormat="false" ht="15" hidden="false" customHeight="false" outlineLevel="0" collapsed="false">
      <c r="A90" s="6" t="s">
        <v>29</v>
      </c>
      <c r="B90" s="6" t="s">
        <v>308</v>
      </c>
      <c r="C90" s="10" t="n">
        <v>1</v>
      </c>
      <c r="D90" s="7" t="n">
        <f aca="false">IFERROR(INDEX('Master Products'!$E:$E,MATCH($A90,'Master Products'!$A:$A,0)),0)</f>
        <v>266.666666666667</v>
      </c>
      <c r="E90" s="19" t="n">
        <f aca="false">C90*D90</f>
        <v>266.666666666667</v>
      </c>
      <c r="F90" s="6" t="s">
        <v>309</v>
      </c>
    </row>
    <row r="91" customFormat="false" ht="15" hidden="false" customHeight="false" outlineLevel="0" collapsed="false">
      <c r="A91" s="6" t="s">
        <v>127</v>
      </c>
      <c r="B91" s="6" t="s">
        <v>293</v>
      </c>
      <c r="C91" s="10" t="n">
        <v>1</v>
      </c>
      <c r="D91" s="7" t="n">
        <f aca="false">IFERROR(INDEX('Master Products'!$E:$E,MATCH($A91,'Master Products'!$A:$A,0)),0)</f>
        <v>90</v>
      </c>
      <c r="E91" s="19" t="n">
        <f aca="false">C91*D91</f>
        <v>90</v>
      </c>
      <c r="F91" s="6"/>
    </row>
    <row r="92" customFormat="false" ht="15" hidden="false" customHeight="false" outlineLevel="0" collapsed="false">
      <c r="A92" s="6" t="s">
        <v>90</v>
      </c>
      <c r="B92" s="6" t="s">
        <v>310</v>
      </c>
      <c r="C92" s="10" t="n">
        <v>1</v>
      </c>
      <c r="D92" s="7" t="n">
        <f aca="false">IFERROR(INDEX('Master Products'!$E:$E,MATCH($A92,'Master Products'!$A:$A,0)),0)</f>
        <v>180</v>
      </c>
      <c r="E92" s="19" t="n">
        <f aca="false">C92*D92</f>
        <v>180</v>
      </c>
      <c r="F92" s="6"/>
    </row>
    <row r="93" customFormat="false" ht="15" hidden="false" customHeight="false" outlineLevel="0" collapsed="false">
      <c r="A93" s="6" t="s">
        <v>102</v>
      </c>
      <c r="B93" s="6" t="s">
        <v>286</v>
      </c>
      <c r="C93" s="10" t="n">
        <v>1</v>
      </c>
      <c r="D93" s="7" t="n">
        <f aca="false">IFERROR(INDEX('Master Products'!$E:$E,MATCH($A93,'Master Products'!$A:$A,0)),0)</f>
        <v>150</v>
      </c>
      <c r="E93" s="19" t="n">
        <f aca="false">C93*D93</f>
        <v>150</v>
      </c>
      <c r="F93" s="6"/>
    </row>
    <row r="94" customFormat="false" ht="15" hidden="false" customHeight="false" outlineLevel="0" collapsed="false">
      <c r="A94" s="6" t="s">
        <v>48</v>
      </c>
      <c r="B94" s="6" t="s">
        <v>311</v>
      </c>
      <c r="C94" s="10" t="n">
        <v>1</v>
      </c>
      <c r="D94" s="7" t="n">
        <f aca="false">IFERROR(INDEX('Master Products'!$E:$E,MATCH($A94,'Master Products'!$A:$A,0)),0)</f>
        <v>105</v>
      </c>
      <c r="E94" s="19" t="n">
        <f aca="false">C94*D94</f>
        <v>105</v>
      </c>
      <c r="F94" s="6" t="s">
        <v>312</v>
      </c>
    </row>
    <row r="95" customFormat="false" ht="15" hidden="false" customHeight="false" outlineLevel="0" collapsed="false">
      <c r="A95" s="6" t="s">
        <v>37</v>
      </c>
      <c r="B95" s="6" t="s">
        <v>259</v>
      </c>
      <c r="C95" s="10" t="n">
        <v>1</v>
      </c>
      <c r="D95" s="7" t="n">
        <f aca="false">IFERROR(INDEX('Master Products'!$E:$E,MATCH($A95,'Master Products'!$A:$A,0)),0)</f>
        <v>56.3333333333333</v>
      </c>
      <c r="E95" s="19" t="n">
        <f aca="false">C95*D95</f>
        <v>56.3333333333333</v>
      </c>
      <c r="F95" s="6"/>
    </row>
    <row r="96" customFormat="false" ht="15" hidden="false" customHeight="false" outlineLevel="0" collapsed="false">
      <c r="A96" s="6" t="s">
        <v>225</v>
      </c>
      <c r="B96" s="6" t="s">
        <v>289</v>
      </c>
      <c r="C96" s="10" t="n">
        <v>1</v>
      </c>
      <c r="D96" s="7" t="n">
        <f aca="false">IFERROR(INDEX('Master Products'!$E:$E,MATCH($A96,'Master Products'!$A:$A,0)),0)</f>
        <v>150</v>
      </c>
      <c r="E96" s="19" t="n">
        <f aca="false">C96*D96</f>
        <v>150</v>
      </c>
      <c r="F96" s="6" t="s">
        <v>221</v>
      </c>
    </row>
    <row r="97" customFormat="false" ht="15" hidden="false" customHeight="false" outlineLevel="0" collapsed="false">
      <c r="A97" s="6" t="s">
        <v>227</v>
      </c>
      <c r="B97" s="6" t="s">
        <v>262</v>
      </c>
      <c r="C97" s="10" t="n">
        <v>1</v>
      </c>
      <c r="D97" s="7" t="n">
        <f aca="false">IFERROR(INDEX('Master Products'!$E:$E,MATCH($A97,'Master Products'!$A:$A,0)),0)</f>
        <v>18</v>
      </c>
      <c r="E97" s="19" t="n">
        <f aca="false">C97*D97</f>
        <v>18</v>
      </c>
      <c r="F97" s="6" t="s">
        <v>221</v>
      </c>
    </row>
    <row r="98" customFormat="false" ht="15" hidden="false" customHeight="false" outlineLevel="0" collapsed="false">
      <c r="B98" s="16" t="s">
        <v>263</v>
      </c>
      <c r="E98" s="24" t="n">
        <f aca="false">SUM(E89:E97)</f>
        <v>1599.33333333333</v>
      </c>
    </row>
    <row r="99" customFormat="false" ht="15" hidden="false" customHeight="false" outlineLevel="0" collapsed="false">
      <c r="B99" s="16" t="s">
        <v>264</v>
      </c>
      <c r="E99" s="25" t="n">
        <v>2.15</v>
      </c>
    </row>
    <row r="100" customFormat="false" ht="15" hidden="false" customHeight="false" outlineLevel="0" collapsed="false">
      <c r="B100" s="16" t="s">
        <v>265</v>
      </c>
      <c r="E100" s="26" t="n">
        <f aca="false">ROUND(E98*E99/50,0)*50-1</f>
        <v>3449</v>
      </c>
    </row>
    <row r="101" customFormat="false" ht="15" hidden="false" customHeight="false" outlineLevel="0" collapsed="false">
      <c r="B101" s="16" t="s">
        <v>266</v>
      </c>
      <c r="E101" s="27" t="n">
        <f aca="false">IF(E100=0,0,(E100-E98)/E100)</f>
        <v>0.536290712283754</v>
      </c>
    </row>
    <row r="105" customFormat="false" ht="16.15" hidden="false" customHeight="false" outlineLevel="0" collapsed="false">
      <c r="A105" s="20" t="s">
        <v>313</v>
      </c>
      <c r="B105" s="21"/>
      <c r="C105" s="21"/>
      <c r="D105" s="21"/>
      <c r="E105" s="21"/>
      <c r="F105" s="21"/>
    </row>
    <row r="106" customFormat="false" ht="15" hidden="false" customHeight="false" outlineLevel="0" collapsed="false">
      <c r="A106" s="2" t="s">
        <v>314</v>
      </c>
    </row>
    <row r="108" customFormat="false" ht="15" hidden="false" customHeight="false" outlineLevel="0" collapsed="false">
      <c r="A108" s="22" t="s">
        <v>315</v>
      </c>
      <c r="B108" s="23"/>
      <c r="C108" s="23"/>
      <c r="D108" s="23"/>
      <c r="E108" s="23"/>
      <c r="F108" s="23"/>
    </row>
    <row r="109" customFormat="false" ht="15" hidden="false" customHeight="false" outlineLevel="0" collapsed="false">
      <c r="A109" s="4" t="s">
        <v>3</v>
      </c>
      <c r="B109" s="4" t="s">
        <v>222</v>
      </c>
      <c r="C109" s="4" t="s">
        <v>248</v>
      </c>
      <c r="D109" s="4" t="s">
        <v>7</v>
      </c>
      <c r="E109" s="4" t="s">
        <v>249</v>
      </c>
      <c r="F109" s="4" t="s">
        <v>250</v>
      </c>
    </row>
    <row r="110" customFormat="false" ht="15" hidden="false" customHeight="false" outlineLevel="0" collapsed="false">
      <c r="A110" s="6" t="s">
        <v>64</v>
      </c>
      <c r="B110" s="6" t="s">
        <v>316</v>
      </c>
      <c r="C110" s="10" t="n">
        <v>1</v>
      </c>
      <c r="D110" s="7" t="n">
        <f aca="false">IFERROR(INDEX('Master Products'!$E:$E,MATCH($A110,'Master Products'!$A:$A,0)),0)</f>
        <v>240</v>
      </c>
      <c r="E110" s="19" t="n">
        <f aca="false">C110*D110</f>
        <v>240</v>
      </c>
      <c r="F110" s="6" t="s">
        <v>317</v>
      </c>
    </row>
    <row r="111" customFormat="false" ht="15" hidden="false" customHeight="false" outlineLevel="0" collapsed="false">
      <c r="A111" s="6" t="s">
        <v>116</v>
      </c>
      <c r="B111" s="6" t="s">
        <v>318</v>
      </c>
      <c r="C111" s="10" t="n">
        <v>1</v>
      </c>
      <c r="D111" s="7" t="n">
        <f aca="false">IFERROR(INDEX('Master Products'!$E:$E,MATCH($A111,'Master Products'!$A:$A,0)),0)</f>
        <v>140</v>
      </c>
      <c r="E111" s="19" t="n">
        <f aca="false">C111*D111</f>
        <v>140</v>
      </c>
      <c r="F111" s="6" t="s">
        <v>319</v>
      </c>
    </row>
    <row r="112" customFormat="false" ht="15" hidden="false" customHeight="false" outlineLevel="0" collapsed="false">
      <c r="A112" s="6" t="s">
        <v>189</v>
      </c>
      <c r="B112" s="6" t="s">
        <v>320</v>
      </c>
      <c r="C112" s="10" t="n">
        <v>1</v>
      </c>
      <c r="D112" s="7" t="n">
        <f aca="false">IFERROR(INDEX('Master Products'!$E:$E,MATCH($A112,'Master Products'!$A:$A,0)),0)</f>
        <v>95</v>
      </c>
      <c r="E112" s="19" t="n">
        <f aca="false">C112*D112</f>
        <v>95</v>
      </c>
      <c r="F112" s="6" t="s">
        <v>321</v>
      </c>
    </row>
    <row r="113" customFormat="false" ht="15" hidden="false" customHeight="false" outlineLevel="0" collapsed="false">
      <c r="A113" s="6" t="s">
        <v>229</v>
      </c>
      <c r="B113" s="6" t="s">
        <v>322</v>
      </c>
      <c r="C113" s="10" t="n">
        <v>1</v>
      </c>
      <c r="D113" s="7" t="n">
        <f aca="false">IFERROR(INDEX('Master Products'!$E:$E,MATCH($A113,'Master Products'!$A:$A,0)),0)</f>
        <v>8</v>
      </c>
      <c r="E113" s="19" t="n">
        <f aca="false">C113*D113</f>
        <v>8</v>
      </c>
      <c r="F113" s="6" t="s">
        <v>221</v>
      </c>
    </row>
    <row r="114" customFormat="false" ht="15" hidden="false" customHeight="false" outlineLevel="0" collapsed="false">
      <c r="A114" s="6" t="s">
        <v>227</v>
      </c>
      <c r="B114" s="6" t="s">
        <v>262</v>
      </c>
      <c r="C114" s="10" t="n">
        <v>1</v>
      </c>
      <c r="D114" s="7" t="n">
        <f aca="false">IFERROR(INDEX('Master Products'!$E:$E,MATCH($A114,'Master Products'!$A:$A,0)),0)</f>
        <v>18</v>
      </c>
      <c r="E114" s="19" t="n">
        <f aca="false">C114*D114</f>
        <v>18</v>
      </c>
      <c r="F114" s="6" t="s">
        <v>221</v>
      </c>
    </row>
    <row r="115" customFormat="false" ht="15" hidden="false" customHeight="false" outlineLevel="0" collapsed="false">
      <c r="B115" s="16" t="s">
        <v>263</v>
      </c>
      <c r="E115" s="24" t="n">
        <f aca="false">SUM(E110:E114)</f>
        <v>501</v>
      </c>
    </row>
    <row r="116" customFormat="false" ht="15" hidden="false" customHeight="false" outlineLevel="0" collapsed="false">
      <c r="B116" s="16" t="s">
        <v>264</v>
      </c>
      <c r="E116" s="25" t="n">
        <v>1.85</v>
      </c>
    </row>
    <row r="117" customFormat="false" ht="15" hidden="false" customHeight="false" outlineLevel="0" collapsed="false">
      <c r="B117" s="16" t="s">
        <v>265</v>
      </c>
      <c r="E117" s="26" t="n">
        <f aca="false">ROUND(E115*E116/50,0)*50-1</f>
        <v>949</v>
      </c>
    </row>
    <row r="118" customFormat="false" ht="15" hidden="false" customHeight="false" outlineLevel="0" collapsed="false">
      <c r="B118" s="16" t="s">
        <v>266</v>
      </c>
      <c r="E118" s="27" t="n">
        <f aca="false">IF(E117=0,0,(E117-E115)/E117)</f>
        <v>0.472075869336143</v>
      </c>
    </row>
    <row r="121" customFormat="false" ht="15" hidden="false" customHeight="false" outlineLevel="0" collapsed="false">
      <c r="A121" s="22" t="s">
        <v>323</v>
      </c>
      <c r="B121" s="23"/>
      <c r="C121" s="23"/>
      <c r="D121" s="23"/>
      <c r="E121" s="23"/>
      <c r="F121" s="23"/>
    </row>
    <row r="122" customFormat="false" ht="15" hidden="false" customHeight="false" outlineLevel="0" collapsed="false">
      <c r="A122" s="4" t="s">
        <v>3</v>
      </c>
      <c r="B122" s="4" t="s">
        <v>222</v>
      </c>
      <c r="C122" s="4" t="s">
        <v>248</v>
      </c>
      <c r="D122" s="4" t="s">
        <v>7</v>
      </c>
      <c r="E122" s="4" t="s">
        <v>249</v>
      </c>
      <c r="F122" s="4" t="s">
        <v>250</v>
      </c>
    </row>
    <row r="123" customFormat="false" ht="15" hidden="false" customHeight="false" outlineLevel="0" collapsed="false">
      <c r="A123" s="6" t="s">
        <v>64</v>
      </c>
      <c r="B123" s="6" t="s">
        <v>316</v>
      </c>
      <c r="C123" s="10" t="n">
        <v>1</v>
      </c>
      <c r="D123" s="7" t="n">
        <f aca="false">IFERROR(INDEX('Master Products'!$E:$E,MATCH($A123,'Master Products'!$A:$A,0)),0)</f>
        <v>240</v>
      </c>
      <c r="E123" s="19" t="n">
        <f aca="false">C123*D123</f>
        <v>240</v>
      </c>
      <c r="F123" s="6"/>
    </row>
    <row r="124" customFormat="false" ht="15" hidden="false" customHeight="false" outlineLevel="0" collapsed="false">
      <c r="A124" s="6" t="s">
        <v>138</v>
      </c>
      <c r="B124" s="6" t="s">
        <v>324</v>
      </c>
      <c r="C124" s="10" t="n">
        <v>1</v>
      </c>
      <c r="D124" s="7" t="n">
        <f aca="false">IFERROR(INDEX('Master Products'!$E:$E,MATCH($A124,'Master Products'!$A:$A,0)),0)</f>
        <v>260</v>
      </c>
      <c r="E124" s="19" t="n">
        <f aca="false">C124*D124</f>
        <v>260</v>
      </c>
      <c r="F124" s="6" t="s">
        <v>325</v>
      </c>
    </row>
    <row r="125" customFormat="false" ht="15" hidden="false" customHeight="false" outlineLevel="0" collapsed="false">
      <c r="A125" s="6" t="s">
        <v>90</v>
      </c>
      <c r="B125" s="6" t="s">
        <v>310</v>
      </c>
      <c r="C125" s="10" t="n">
        <v>1</v>
      </c>
      <c r="D125" s="7" t="n">
        <f aca="false">IFERROR(INDEX('Master Products'!$E:$E,MATCH($A125,'Master Products'!$A:$A,0)),0)</f>
        <v>180</v>
      </c>
      <c r="E125" s="19" t="n">
        <f aca="false">C125*D125</f>
        <v>180</v>
      </c>
      <c r="F125" s="6"/>
    </row>
    <row r="126" customFormat="false" ht="15" hidden="false" customHeight="false" outlineLevel="0" collapsed="false">
      <c r="A126" s="6" t="s">
        <v>33</v>
      </c>
      <c r="B126" s="6" t="s">
        <v>326</v>
      </c>
      <c r="C126" s="10" t="n">
        <v>1</v>
      </c>
      <c r="D126" s="7" t="n">
        <f aca="false">IFERROR(INDEX('Master Products'!$E:$E,MATCH($A126,'Master Products'!$A:$A,0)),0)</f>
        <v>228</v>
      </c>
      <c r="E126" s="19" t="n">
        <f aca="false">C126*D126</f>
        <v>228</v>
      </c>
      <c r="F126" s="6" t="s">
        <v>327</v>
      </c>
    </row>
    <row r="127" customFormat="false" ht="15" hidden="false" customHeight="false" outlineLevel="0" collapsed="false">
      <c r="A127" s="6" t="s">
        <v>37</v>
      </c>
      <c r="B127" s="6" t="s">
        <v>259</v>
      </c>
      <c r="C127" s="10" t="n">
        <v>1</v>
      </c>
      <c r="D127" s="7" t="n">
        <f aca="false">IFERROR(INDEX('Master Products'!$E:$E,MATCH($A127,'Master Products'!$A:$A,0)),0)</f>
        <v>56.3333333333333</v>
      </c>
      <c r="E127" s="19" t="n">
        <f aca="false">C127*D127</f>
        <v>56.3333333333333</v>
      </c>
      <c r="F127" s="6"/>
    </row>
    <row r="128" customFormat="false" ht="15" hidden="false" customHeight="false" outlineLevel="0" collapsed="false">
      <c r="A128" s="6" t="s">
        <v>223</v>
      </c>
      <c r="B128" s="6" t="s">
        <v>278</v>
      </c>
      <c r="C128" s="10" t="n">
        <v>1</v>
      </c>
      <c r="D128" s="7" t="n">
        <f aca="false">IFERROR(INDEX('Master Products'!$E:$E,MATCH($A128,'Master Products'!$A:$A,0)),0)</f>
        <v>105</v>
      </c>
      <c r="E128" s="19" t="n">
        <f aca="false">C128*D128</f>
        <v>105</v>
      </c>
      <c r="F128" s="6" t="s">
        <v>221</v>
      </c>
    </row>
    <row r="129" customFormat="false" ht="15" hidden="false" customHeight="false" outlineLevel="0" collapsed="false">
      <c r="A129" s="6" t="s">
        <v>227</v>
      </c>
      <c r="B129" s="6" t="s">
        <v>262</v>
      </c>
      <c r="C129" s="10" t="n">
        <v>1</v>
      </c>
      <c r="D129" s="7" t="n">
        <f aca="false">IFERROR(INDEX('Master Products'!$E:$E,MATCH($A129,'Master Products'!$A:$A,0)),0)</f>
        <v>18</v>
      </c>
      <c r="E129" s="19" t="n">
        <f aca="false">C129*D129</f>
        <v>18</v>
      </c>
      <c r="F129" s="6" t="s">
        <v>221</v>
      </c>
    </row>
    <row r="130" customFormat="false" ht="15" hidden="false" customHeight="false" outlineLevel="0" collapsed="false">
      <c r="B130" s="16" t="s">
        <v>263</v>
      </c>
      <c r="E130" s="24" t="n">
        <f aca="false">SUM(E123:E129)</f>
        <v>1087.33333333333</v>
      </c>
    </row>
    <row r="131" customFormat="false" ht="15" hidden="false" customHeight="false" outlineLevel="0" collapsed="false">
      <c r="B131" s="16" t="s">
        <v>264</v>
      </c>
      <c r="E131" s="25" t="n">
        <v>1.95</v>
      </c>
    </row>
    <row r="132" customFormat="false" ht="15" hidden="false" customHeight="false" outlineLevel="0" collapsed="false">
      <c r="B132" s="16" t="s">
        <v>265</v>
      </c>
      <c r="E132" s="26" t="n">
        <f aca="false">ROUND(E130*E131/50,0)*50-1</f>
        <v>2099</v>
      </c>
    </row>
    <row r="133" customFormat="false" ht="15" hidden="false" customHeight="false" outlineLevel="0" collapsed="false">
      <c r="B133" s="16" t="s">
        <v>266</v>
      </c>
      <c r="E133" s="27" t="n">
        <f aca="false">IF(E132=0,0,(E132-E130)/E132)</f>
        <v>0.481975543909798</v>
      </c>
    </row>
    <row r="136" customFormat="false" ht="15" hidden="false" customHeight="false" outlineLevel="0" collapsed="false">
      <c r="A136" s="22" t="s">
        <v>328</v>
      </c>
      <c r="B136" s="23"/>
      <c r="C136" s="23"/>
      <c r="D136" s="23"/>
      <c r="E136" s="23"/>
      <c r="F136" s="23"/>
    </row>
    <row r="137" customFormat="false" ht="15" hidden="false" customHeight="false" outlineLevel="0" collapsed="false">
      <c r="A137" s="4" t="s">
        <v>3</v>
      </c>
      <c r="B137" s="4" t="s">
        <v>222</v>
      </c>
      <c r="C137" s="4" t="s">
        <v>248</v>
      </c>
      <c r="D137" s="4" t="s">
        <v>7</v>
      </c>
      <c r="E137" s="4" t="s">
        <v>249</v>
      </c>
      <c r="F137" s="4" t="s">
        <v>250</v>
      </c>
    </row>
    <row r="138" customFormat="false" ht="15" hidden="false" customHeight="false" outlineLevel="0" collapsed="false">
      <c r="A138" s="6" t="s">
        <v>15</v>
      </c>
      <c r="B138" s="6" t="s">
        <v>280</v>
      </c>
      <c r="C138" s="10" t="n">
        <v>1</v>
      </c>
      <c r="D138" s="7" t="n">
        <f aca="false">IFERROR(INDEX('Master Products'!$E:$E,MATCH($A138,'Master Products'!$A:$A,0)),0)</f>
        <v>383.833333333333</v>
      </c>
      <c r="E138" s="19" t="n">
        <f aca="false">C138*D138</f>
        <v>383.833333333333</v>
      </c>
      <c r="F138" s="6" t="s">
        <v>281</v>
      </c>
    </row>
    <row r="139" customFormat="false" ht="15" hidden="false" customHeight="false" outlineLevel="0" collapsed="false">
      <c r="A139" s="6" t="s">
        <v>77</v>
      </c>
      <c r="B139" s="6" t="s">
        <v>303</v>
      </c>
      <c r="C139" s="10" t="n">
        <v>1</v>
      </c>
      <c r="D139" s="7" t="n">
        <f aca="false">IFERROR(INDEX('Master Products'!$E:$E,MATCH($A139,'Master Products'!$A:$A,0)),0)</f>
        <v>320</v>
      </c>
      <c r="E139" s="19" t="n">
        <f aca="false">C139*D139</f>
        <v>320</v>
      </c>
      <c r="F139" s="6" t="s">
        <v>329</v>
      </c>
    </row>
    <row r="140" customFormat="false" ht="15" hidden="false" customHeight="false" outlineLevel="0" collapsed="false">
      <c r="A140" s="6" t="s">
        <v>130</v>
      </c>
      <c r="B140" s="6" t="s">
        <v>282</v>
      </c>
      <c r="C140" s="10" t="n">
        <v>1</v>
      </c>
      <c r="D140" s="7" t="n">
        <f aca="false">IFERROR(INDEX('Master Products'!$E:$E,MATCH($A140,'Master Products'!$A:$A,0)),0)</f>
        <v>210</v>
      </c>
      <c r="E140" s="19" t="n">
        <f aca="false">C140*D140</f>
        <v>210</v>
      </c>
      <c r="F140" s="6" t="s">
        <v>330</v>
      </c>
    </row>
    <row r="141" customFormat="false" ht="15" hidden="false" customHeight="false" outlineLevel="0" collapsed="false">
      <c r="A141" s="6" t="s">
        <v>109</v>
      </c>
      <c r="B141" s="6" t="s">
        <v>284</v>
      </c>
      <c r="C141" s="10" t="n">
        <v>1</v>
      </c>
      <c r="D141" s="7" t="n">
        <f aca="false">IFERROR(INDEX('Master Products'!$E:$E,MATCH($A141,'Master Products'!$A:$A,0)),0)</f>
        <v>170</v>
      </c>
      <c r="E141" s="19" t="n">
        <f aca="false">C141*D141</f>
        <v>170</v>
      </c>
      <c r="F141" s="6"/>
    </row>
    <row r="142" customFormat="false" ht="15" hidden="false" customHeight="false" outlineLevel="0" collapsed="false">
      <c r="A142" s="6" t="s">
        <v>37</v>
      </c>
      <c r="B142" s="6" t="s">
        <v>259</v>
      </c>
      <c r="C142" s="10" t="n">
        <v>1</v>
      </c>
      <c r="D142" s="7" t="n">
        <f aca="false">IFERROR(INDEX('Master Products'!$E:$E,MATCH($A142,'Master Products'!$A:$A,0)),0)</f>
        <v>56.3333333333333</v>
      </c>
      <c r="E142" s="19" t="n">
        <f aca="false">C142*D142</f>
        <v>56.3333333333333</v>
      </c>
      <c r="F142" s="6"/>
    </row>
    <row r="143" customFormat="false" ht="15" hidden="false" customHeight="false" outlineLevel="0" collapsed="false">
      <c r="A143" s="6" t="s">
        <v>225</v>
      </c>
      <c r="B143" s="6" t="s">
        <v>289</v>
      </c>
      <c r="C143" s="10" t="n">
        <v>1</v>
      </c>
      <c r="D143" s="7" t="n">
        <f aca="false">IFERROR(INDEX('Master Products'!$E:$E,MATCH($A143,'Master Products'!$A:$A,0)),0)</f>
        <v>150</v>
      </c>
      <c r="E143" s="19" t="n">
        <f aca="false">C143*D143</f>
        <v>150</v>
      </c>
      <c r="F143" s="6" t="s">
        <v>221</v>
      </c>
    </row>
    <row r="144" customFormat="false" ht="15" hidden="false" customHeight="false" outlineLevel="0" collapsed="false">
      <c r="A144" s="6" t="s">
        <v>227</v>
      </c>
      <c r="B144" s="6" t="s">
        <v>262</v>
      </c>
      <c r="C144" s="10" t="n">
        <v>1</v>
      </c>
      <c r="D144" s="7" t="n">
        <f aca="false">IFERROR(INDEX('Master Products'!$E:$E,MATCH($A144,'Master Products'!$A:$A,0)),0)</f>
        <v>18</v>
      </c>
      <c r="E144" s="19" t="n">
        <f aca="false">C144*D144</f>
        <v>18</v>
      </c>
      <c r="F144" s="6" t="s">
        <v>221</v>
      </c>
    </row>
    <row r="145" customFormat="false" ht="15" hidden="false" customHeight="false" outlineLevel="0" collapsed="false">
      <c r="B145" s="16" t="s">
        <v>263</v>
      </c>
      <c r="E145" s="24" t="n">
        <f aca="false">SUM(E138:E144)</f>
        <v>1308.16666666667</v>
      </c>
    </row>
    <row r="146" customFormat="false" ht="15" hidden="false" customHeight="false" outlineLevel="0" collapsed="false">
      <c r="B146" s="16" t="s">
        <v>264</v>
      </c>
      <c r="E146" s="25" t="n">
        <v>2.05</v>
      </c>
    </row>
    <row r="147" customFormat="false" ht="15" hidden="false" customHeight="false" outlineLevel="0" collapsed="false">
      <c r="B147" s="16" t="s">
        <v>265</v>
      </c>
      <c r="E147" s="26" t="n">
        <f aca="false">ROUND(E145*E146/50,0)*50-1</f>
        <v>2699</v>
      </c>
    </row>
    <row r="148" customFormat="false" ht="15" hidden="false" customHeight="false" outlineLevel="0" collapsed="false">
      <c r="B148" s="16" t="s">
        <v>266</v>
      </c>
      <c r="E148" s="27" t="n">
        <f aca="false">IF(E147=0,0,(E147-E145)/E147)</f>
        <v>0.515314313943436</v>
      </c>
    </row>
    <row r="152" customFormat="false" ht="16.15" hidden="false" customHeight="false" outlineLevel="0" collapsed="false">
      <c r="A152" s="20" t="s">
        <v>331</v>
      </c>
      <c r="B152" s="21"/>
      <c r="C152" s="21"/>
      <c r="D152" s="21"/>
      <c r="E152" s="21"/>
      <c r="F152" s="21"/>
    </row>
    <row r="153" customFormat="false" ht="15" hidden="false" customHeight="false" outlineLevel="0" collapsed="false">
      <c r="A153" s="2" t="s">
        <v>332</v>
      </c>
    </row>
    <row r="155" customFormat="false" ht="15" hidden="false" customHeight="false" outlineLevel="0" collapsed="false">
      <c r="A155" s="22" t="s">
        <v>333</v>
      </c>
      <c r="B155" s="23"/>
      <c r="C155" s="23"/>
      <c r="D155" s="23"/>
      <c r="E155" s="23"/>
      <c r="F155" s="23"/>
    </row>
    <row r="156" customFormat="false" ht="15" hidden="false" customHeight="false" outlineLevel="0" collapsed="false">
      <c r="A156" s="4" t="s">
        <v>3</v>
      </c>
      <c r="B156" s="4" t="s">
        <v>222</v>
      </c>
      <c r="C156" s="4" t="s">
        <v>248</v>
      </c>
      <c r="D156" s="4" t="s">
        <v>7</v>
      </c>
      <c r="E156" s="4" t="s">
        <v>249</v>
      </c>
      <c r="F156" s="4" t="s">
        <v>250</v>
      </c>
    </row>
    <row r="157" customFormat="false" ht="15" hidden="false" customHeight="false" outlineLevel="0" collapsed="false">
      <c r="A157" s="6" t="s">
        <v>159</v>
      </c>
      <c r="B157" s="6" t="s">
        <v>334</v>
      </c>
      <c r="C157" s="10" t="n">
        <v>1</v>
      </c>
      <c r="D157" s="7" t="n">
        <f aca="false">IFERROR(INDEX('Master Products'!$E:$E,MATCH($A157,'Master Products'!$A:$A,0)),0)</f>
        <v>70</v>
      </c>
      <c r="E157" s="19" t="n">
        <f aca="false">C157*D157</f>
        <v>70</v>
      </c>
      <c r="F157" s="6" t="s">
        <v>335</v>
      </c>
    </row>
    <row r="158" customFormat="false" ht="15" hidden="false" customHeight="false" outlineLevel="0" collapsed="false">
      <c r="A158" s="6" t="s">
        <v>165</v>
      </c>
      <c r="B158" s="6" t="s">
        <v>336</v>
      </c>
      <c r="C158" s="10" t="n">
        <v>1</v>
      </c>
      <c r="D158" s="7" t="n">
        <f aca="false">IFERROR(INDEX('Master Products'!$E:$E,MATCH($A158,'Master Products'!$A:$A,0)),0)</f>
        <v>35</v>
      </c>
      <c r="E158" s="19" t="n">
        <f aca="false">C158*D158</f>
        <v>35</v>
      </c>
      <c r="F158" s="6" t="s">
        <v>169</v>
      </c>
    </row>
    <row r="159" customFormat="false" ht="15" hidden="false" customHeight="false" outlineLevel="0" collapsed="false">
      <c r="A159" s="6" t="s">
        <v>70</v>
      </c>
      <c r="B159" s="6" t="s">
        <v>255</v>
      </c>
      <c r="C159" s="10" t="n">
        <v>1</v>
      </c>
      <c r="D159" s="7" t="n">
        <f aca="false">IFERROR(INDEX('Master Products'!$E:$E,MATCH($A159,'Master Products'!$A:$A,0)),0)</f>
        <v>110</v>
      </c>
      <c r="E159" s="19" t="n">
        <f aca="false">C159*D159</f>
        <v>110</v>
      </c>
      <c r="F159" s="6"/>
    </row>
    <row r="160" customFormat="false" ht="15" hidden="false" customHeight="false" outlineLevel="0" collapsed="false">
      <c r="A160" s="6" t="s">
        <v>99</v>
      </c>
      <c r="B160" s="6" t="s">
        <v>337</v>
      </c>
      <c r="C160" s="10" t="n">
        <v>1</v>
      </c>
      <c r="D160" s="7" t="n">
        <f aca="false">IFERROR(INDEX('Master Products'!$E:$E,MATCH($A160,'Master Products'!$A:$A,0)),0)</f>
        <v>160</v>
      </c>
      <c r="E160" s="19" t="n">
        <f aca="false">C160*D160</f>
        <v>160</v>
      </c>
      <c r="F160" s="6" t="s">
        <v>338</v>
      </c>
    </row>
    <row r="161" customFormat="false" ht="15" hidden="false" customHeight="false" outlineLevel="0" collapsed="false">
      <c r="A161" s="6" t="s">
        <v>218</v>
      </c>
      <c r="B161" s="6" t="s">
        <v>299</v>
      </c>
      <c r="C161" s="10" t="n">
        <v>1</v>
      </c>
      <c r="D161" s="7" t="n">
        <f aca="false">IFERROR(INDEX('Master Products'!$E:$E,MATCH($A161,'Master Products'!$A:$A,0)),0)</f>
        <v>70</v>
      </c>
      <c r="E161" s="19" t="n">
        <f aca="false">C161*D161</f>
        <v>70</v>
      </c>
      <c r="F161" s="6" t="s">
        <v>221</v>
      </c>
    </row>
    <row r="162" customFormat="false" ht="15" hidden="false" customHeight="false" outlineLevel="0" collapsed="false">
      <c r="A162" s="6" t="s">
        <v>227</v>
      </c>
      <c r="B162" s="6" t="s">
        <v>262</v>
      </c>
      <c r="C162" s="10" t="n">
        <v>1</v>
      </c>
      <c r="D162" s="7" t="n">
        <f aca="false">IFERROR(INDEX('Master Products'!$E:$E,MATCH($A162,'Master Products'!$A:$A,0)),0)</f>
        <v>18</v>
      </c>
      <c r="E162" s="19" t="n">
        <f aca="false">C162*D162</f>
        <v>18</v>
      </c>
      <c r="F162" s="6" t="s">
        <v>221</v>
      </c>
    </row>
    <row r="163" customFormat="false" ht="15" hidden="false" customHeight="false" outlineLevel="0" collapsed="false">
      <c r="B163" s="16" t="s">
        <v>263</v>
      </c>
      <c r="E163" s="24" t="n">
        <f aca="false">SUM(E157:E162)</f>
        <v>463</v>
      </c>
    </row>
    <row r="164" customFormat="false" ht="15" hidden="false" customHeight="false" outlineLevel="0" collapsed="false">
      <c r="B164" s="16" t="s">
        <v>264</v>
      </c>
      <c r="E164" s="25" t="n">
        <v>1.9</v>
      </c>
    </row>
    <row r="165" customFormat="false" ht="15" hidden="false" customHeight="false" outlineLevel="0" collapsed="false">
      <c r="B165" s="16" t="s">
        <v>265</v>
      </c>
      <c r="E165" s="26" t="n">
        <f aca="false">ROUND(E163*E164/50,0)*50-1</f>
        <v>899</v>
      </c>
    </row>
    <row r="166" customFormat="false" ht="15" hidden="false" customHeight="false" outlineLevel="0" collapsed="false">
      <c r="B166" s="16" t="s">
        <v>266</v>
      </c>
      <c r="E166" s="27" t="n">
        <f aca="false">IF(E165=0,0,(E165-E163)/E165)</f>
        <v>0.484983314794216</v>
      </c>
    </row>
    <row r="169" customFormat="false" ht="15" hidden="false" customHeight="false" outlineLevel="0" collapsed="false">
      <c r="A169" s="22" t="s">
        <v>339</v>
      </c>
      <c r="B169" s="23"/>
      <c r="C169" s="23"/>
      <c r="D169" s="23"/>
      <c r="E169" s="23"/>
      <c r="F169" s="23"/>
    </row>
    <row r="170" customFormat="false" ht="15" hidden="false" customHeight="false" outlineLevel="0" collapsed="false">
      <c r="A170" s="4" t="s">
        <v>3</v>
      </c>
      <c r="B170" s="4" t="s">
        <v>222</v>
      </c>
      <c r="C170" s="4" t="s">
        <v>248</v>
      </c>
      <c r="D170" s="4" t="s">
        <v>7</v>
      </c>
      <c r="E170" s="4" t="s">
        <v>249</v>
      </c>
      <c r="F170" s="4" t="s">
        <v>250</v>
      </c>
    </row>
    <row r="171" customFormat="false" ht="15" hidden="false" customHeight="false" outlineLevel="0" collapsed="false">
      <c r="A171" s="6" t="s">
        <v>162</v>
      </c>
      <c r="B171" s="6" t="s">
        <v>340</v>
      </c>
      <c r="C171" s="10" t="n">
        <v>1</v>
      </c>
      <c r="D171" s="7" t="n">
        <f aca="false">IFERROR(INDEX('Master Products'!$E:$E,MATCH($A171,'Master Products'!$A:$A,0)),0)</f>
        <v>210</v>
      </c>
      <c r="E171" s="19" t="n">
        <f aca="false">C171*D171</f>
        <v>210</v>
      </c>
      <c r="F171" s="6" t="s">
        <v>341</v>
      </c>
    </row>
    <row r="172" customFormat="false" ht="15" hidden="false" customHeight="false" outlineLevel="0" collapsed="false">
      <c r="A172" s="6" t="s">
        <v>154</v>
      </c>
      <c r="B172" s="6" t="s">
        <v>342</v>
      </c>
      <c r="C172" s="10" t="n">
        <v>1</v>
      </c>
      <c r="D172" s="7" t="n">
        <f aca="false">IFERROR(INDEX('Master Products'!$E:$E,MATCH($A172,'Master Products'!$A:$A,0)),0)</f>
        <v>130</v>
      </c>
      <c r="E172" s="19" t="n">
        <f aca="false">C172*D172</f>
        <v>130</v>
      </c>
      <c r="F172" s="6"/>
    </row>
    <row r="173" customFormat="false" ht="15" hidden="false" customHeight="false" outlineLevel="0" collapsed="false">
      <c r="A173" s="6" t="s">
        <v>33</v>
      </c>
      <c r="B173" s="6" t="s">
        <v>326</v>
      </c>
      <c r="C173" s="10" t="n">
        <v>1</v>
      </c>
      <c r="D173" s="7" t="n">
        <f aca="false">IFERROR(INDEX('Master Products'!$E:$E,MATCH($A173,'Master Products'!$A:$A,0)),0)</f>
        <v>228</v>
      </c>
      <c r="E173" s="19" t="n">
        <f aca="false">C173*D173</f>
        <v>228</v>
      </c>
      <c r="F173" s="6" t="s">
        <v>327</v>
      </c>
    </row>
    <row r="174" customFormat="false" ht="15" hidden="false" customHeight="false" outlineLevel="0" collapsed="false">
      <c r="A174" s="6" t="s">
        <v>99</v>
      </c>
      <c r="B174" s="6" t="s">
        <v>337</v>
      </c>
      <c r="C174" s="10" t="n">
        <v>1</v>
      </c>
      <c r="D174" s="7" t="n">
        <f aca="false">IFERROR(INDEX('Master Products'!$E:$E,MATCH($A174,'Master Products'!$A:$A,0)),0)</f>
        <v>160</v>
      </c>
      <c r="E174" s="19" t="n">
        <f aca="false">C174*D174</f>
        <v>160</v>
      </c>
      <c r="F174" s="6"/>
    </row>
    <row r="175" customFormat="false" ht="15" hidden="false" customHeight="false" outlineLevel="0" collapsed="false">
      <c r="A175" s="6" t="s">
        <v>37</v>
      </c>
      <c r="B175" s="6" t="s">
        <v>259</v>
      </c>
      <c r="C175" s="10" t="n">
        <v>1</v>
      </c>
      <c r="D175" s="7" t="n">
        <f aca="false">IFERROR(INDEX('Master Products'!$E:$E,MATCH($A175,'Master Products'!$A:$A,0)),0)</f>
        <v>56.3333333333333</v>
      </c>
      <c r="E175" s="19" t="n">
        <f aca="false">C175*D175</f>
        <v>56.3333333333333</v>
      </c>
      <c r="F175" s="6"/>
    </row>
    <row r="176" customFormat="false" ht="15" hidden="false" customHeight="false" outlineLevel="0" collapsed="false">
      <c r="A176" s="6" t="s">
        <v>223</v>
      </c>
      <c r="B176" s="6" t="s">
        <v>278</v>
      </c>
      <c r="C176" s="10" t="n">
        <v>1</v>
      </c>
      <c r="D176" s="7" t="n">
        <f aca="false">IFERROR(INDEX('Master Products'!$E:$E,MATCH($A176,'Master Products'!$A:$A,0)),0)</f>
        <v>105</v>
      </c>
      <c r="E176" s="19" t="n">
        <f aca="false">C176*D176</f>
        <v>105</v>
      </c>
      <c r="F176" s="6" t="s">
        <v>221</v>
      </c>
    </row>
    <row r="177" customFormat="false" ht="15" hidden="false" customHeight="false" outlineLevel="0" collapsed="false">
      <c r="A177" s="6" t="s">
        <v>227</v>
      </c>
      <c r="B177" s="6" t="s">
        <v>262</v>
      </c>
      <c r="C177" s="10" t="n">
        <v>1</v>
      </c>
      <c r="D177" s="7" t="n">
        <f aca="false">IFERROR(INDEX('Master Products'!$E:$E,MATCH($A177,'Master Products'!$A:$A,0)),0)</f>
        <v>18</v>
      </c>
      <c r="E177" s="19" t="n">
        <f aca="false">C177*D177</f>
        <v>18</v>
      </c>
      <c r="F177" s="6" t="s">
        <v>221</v>
      </c>
    </row>
    <row r="178" customFormat="false" ht="15" hidden="false" customHeight="false" outlineLevel="0" collapsed="false">
      <c r="B178" s="16" t="s">
        <v>263</v>
      </c>
      <c r="E178" s="24" t="n">
        <f aca="false">SUM(E171:E177)</f>
        <v>907.333333333333</v>
      </c>
    </row>
    <row r="179" customFormat="false" ht="15" hidden="false" customHeight="false" outlineLevel="0" collapsed="false">
      <c r="B179" s="16" t="s">
        <v>264</v>
      </c>
      <c r="E179" s="25" t="n">
        <v>2</v>
      </c>
    </row>
    <row r="180" customFormat="false" ht="15" hidden="false" customHeight="false" outlineLevel="0" collapsed="false">
      <c r="B180" s="16" t="s">
        <v>265</v>
      </c>
      <c r="E180" s="26" t="n">
        <f aca="false">ROUND(E178*E179/50,0)*50-1</f>
        <v>1799</v>
      </c>
    </row>
    <row r="181" customFormat="false" ht="15" hidden="false" customHeight="false" outlineLevel="0" collapsed="false">
      <c r="B181" s="16" t="s">
        <v>266</v>
      </c>
      <c r="E181" s="27" t="n">
        <f aca="false">IF(E180=0,0,(E180-E178)/E180)</f>
        <v>0.495645729108764</v>
      </c>
    </row>
    <row r="184" customFormat="false" ht="15" hidden="false" customHeight="false" outlineLevel="0" collapsed="false">
      <c r="A184" s="22" t="s">
        <v>343</v>
      </c>
      <c r="B184" s="23"/>
      <c r="C184" s="23"/>
      <c r="D184" s="23"/>
      <c r="E184" s="23"/>
      <c r="F184" s="23"/>
    </row>
    <row r="185" customFormat="false" ht="15" hidden="false" customHeight="false" outlineLevel="0" collapsed="false">
      <c r="A185" s="4" t="s">
        <v>3</v>
      </c>
      <c r="B185" s="4" t="s">
        <v>222</v>
      </c>
      <c r="C185" s="4" t="s">
        <v>248</v>
      </c>
      <c r="D185" s="4" t="s">
        <v>7</v>
      </c>
      <c r="E185" s="4" t="s">
        <v>249</v>
      </c>
      <c r="F185" s="4" t="s">
        <v>250</v>
      </c>
    </row>
    <row r="186" customFormat="false" ht="15" hidden="false" customHeight="false" outlineLevel="0" collapsed="false">
      <c r="A186" s="6" t="s">
        <v>149</v>
      </c>
      <c r="B186" s="6" t="s">
        <v>344</v>
      </c>
      <c r="C186" s="10" t="n">
        <v>1</v>
      </c>
      <c r="D186" s="7" t="n">
        <f aca="false">IFERROR(INDEX('Master Products'!$E:$E,MATCH($A186,'Master Products'!$A:$A,0)),0)</f>
        <v>320</v>
      </c>
      <c r="E186" s="19" t="n">
        <f aca="false">C186*D186</f>
        <v>320</v>
      </c>
      <c r="F186" s="6" t="s">
        <v>345</v>
      </c>
    </row>
    <row r="187" customFormat="false" ht="15" hidden="false" customHeight="false" outlineLevel="0" collapsed="false">
      <c r="A187" s="6" t="s">
        <v>15</v>
      </c>
      <c r="B187" s="6" t="s">
        <v>280</v>
      </c>
      <c r="C187" s="10" t="n">
        <v>1</v>
      </c>
      <c r="D187" s="7" t="n">
        <f aca="false">IFERROR(INDEX('Master Products'!$E:$E,MATCH($A187,'Master Products'!$A:$A,0)),0)</f>
        <v>383.833333333333</v>
      </c>
      <c r="E187" s="19" t="n">
        <f aca="false">C187*D187</f>
        <v>383.833333333333</v>
      </c>
      <c r="F187" s="6" t="s">
        <v>281</v>
      </c>
    </row>
    <row r="188" customFormat="false" ht="15" hidden="false" customHeight="false" outlineLevel="0" collapsed="false">
      <c r="A188" s="6" t="s">
        <v>156</v>
      </c>
      <c r="B188" s="6" t="s">
        <v>346</v>
      </c>
      <c r="C188" s="10" t="n">
        <v>1</v>
      </c>
      <c r="D188" s="7" t="n">
        <f aca="false">IFERROR(INDEX('Master Products'!$E:$E,MATCH($A188,'Master Products'!$A:$A,0)),0)</f>
        <v>240</v>
      </c>
      <c r="E188" s="19" t="n">
        <f aca="false">C188*D188</f>
        <v>240</v>
      </c>
      <c r="F188" s="6"/>
    </row>
    <row r="189" customFormat="false" ht="15" hidden="false" customHeight="false" outlineLevel="0" collapsed="false">
      <c r="A189" s="6" t="s">
        <v>102</v>
      </c>
      <c r="B189" s="6" t="s">
        <v>286</v>
      </c>
      <c r="C189" s="10" t="n">
        <v>1</v>
      </c>
      <c r="D189" s="7" t="n">
        <f aca="false">IFERROR(INDEX('Master Products'!$E:$E,MATCH($A189,'Master Products'!$A:$A,0)),0)</f>
        <v>150</v>
      </c>
      <c r="E189" s="19" t="n">
        <f aca="false">C189*D189</f>
        <v>150</v>
      </c>
      <c r="F189" s="6"/>
    </row>
    <row r="190" customFormat="false" ht="15" hidden="false" customHeight="false" outlineLevel="0" collapsed="false">
      <c r="A190" s="6" t="s">
        <v>25</v>
      </c>
      <c r="B190" s="6" t="s">
        <v>287</v>
      </c>
      <c r="C190" s="10" t="n">
        <v>1</v>
      </c>
      <c r="D190" s="7" t="n">
        <f aca="false">IFERROR(INDEX('Master Products'!$E:$E,MATCH($A190,'Master Products'!$A:$A,0)),0)</f>
        <v>192</v>
      </c>
      <c r="E190" s="19" t="n">
        <f aca="false">C190*D190</f>
        <v>192</v>
      </c>
      <c r="F190" s="6"/>
    </row>
    <row r="191" customFormat="false" ht="15" hidden="false" customHeight="false" outlineLevel="0" collapsed="false">
      <c r="A191" s="6" t="s">
        <v>37</v>
      </c>
      <c r="B191" s="6" t="s">
        <v>259</v>
      </c>
      <c r="C191" s="10" t="n">
        <v>1</v>
      </c>
      <c r="D191" s="7" t="n">
        <f aca="false">IFERROR(INDEX('Master Products'!$E:$E,MATCH($A191,'Master Products'!$A:$A,0)),0)</f>
        <v>56.3333333333333</v>
      </c>
      <c r="E191" s="19" t="n">
        <f aca="false">C191*D191</f>
        <v>56.3333333333333</v>
      </c>
      <c r="F191" s="6"/>
    </row>
    <row r="192" customFormat="false" ht="15" hidden="false" customHeight="false" outlineLevel="0" collapsed="false">
      <c r="A192" s="6" t="s">
        <v>225</v>
      </c>
      <c r="B192" s="6" t="s">
        <v>289</v>
      </c>
      <c r="C192" s="10" t="n">
        <v>1</v>
      </c>
      <c r="D192" s="7" t="n">
        <f aca="false">IFERROR(INDEX('Master Products'!$E:$E,MATCH($A192,'Master Products'!$A:$A,0)),0)</f>
        <v>150</v>
      </c>
      <c r="E192" s="19" t="n">
        <f aca="false">C192*D192</f>
        <v>150</v>
      </c>
      <c r="F192" s="6" t="s">
        <v>221</v>
      </c>
    </row>
    <row r="193" customFormat="false" ht="15" hidden="false" customHeight="false" outlineLevel="0" collapsed="false">
      <c r="A193" s="6" t="s">
        <v>227</v>
      </c>
      <c r="B193" s="6" t="s">
        <v>262</v>
      </c>
      <c r="C193" s="10" t="n">
        <v>1</v>
      </c>
      <c r="D193" s="7" t="n">
        <f aca="false">IFERROR(INDEX('Master Products'!$E:$E,MATCH($A193,'Master Products'!$A:$A,0)),0)</f>
        <v>18</v>
      </c>
      <c r="E193" s="19" t="n">
        <f aca="false">C193*D193</f>
        <v>18</v>
      </c>
      <c r="F193" s="6" t="s">
        <v>221</v>
      </c>
    </row>
    <row r="194" customFormat="false" ht="15" hidden="false" customHeight="false" outlineLevel="0" collapsed="false">
      <c r="B194" s="16" t="s">
        <v>263</v>
      </c>
      <c r="E194" s="24" t="n">
        <f aca="false">SUM(E186:E193)</f>
        <v>1510.16666666667</v>
      </c>
    </row>
    <row r="195" customFormat="false" ht="15" hidden="false" customHeight="false" outlineLevel="0" collapsed="false">
      <c r="B195" s="16" t="s">
        <v>264</v>
      </c>
      <c r="E195" s="25" t="n">
        <v>2.1</v>
      </c>
    </row>
    <row r="196" customFormat="false" ht="15" hidden="false" customHeight="false" outlineLevel="0" collapsed="false">
      <c r="B196" s="16" t="s">
        <v>265</v>
      </c>
      <c r="E196" s="26" t="n">
        <f aca="false">ROUND(E194*E195/50,0)*50-1</f>
        <v>3149</v>
      </c>
    </row>
    <row r="197" customFormat="false" ht="15" hidden="false" customHeight="false" outlineLevel="0" collapsed="false">
      <c r="B197" s="16" t="s">
        <v>266</v>
      </c>
      <c r="E197" s="27" t="n">
        <f aca="false">IF(E196=0,0,(E196-E194)/E196)</f>
        <v>0.520429766063301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5"/>
  </cols>
  <sheetData>
    <row r="1" customFormat="false" ht="19.7" hidden="false" customHeight="false" outlineLevel="0" collapsed="false">
      <c r="A1" s="1" t="s">
        <v>347</v>
      </c>
    </row>
    <row r="2" customFormat="false" ht="15" hidden="false" customHeight="false" outlineLevel="0" collapsed="false">
      <c r="A2" s="2" t="s">
        <v>348</v>
      </c>
    </row>
    <row r="4" customFormat="false" ht="15" hidden="false" customHeight="false" outlineLevel="0" collapsed="false">
      <c r="A4" s="28" t="s">
        <v>349</v>
      </c>
      <c r="B4" s="28" t="s">
        <v>350</v>
      </c>
      <c r="C4" s="28" t="s">
        <v>351</v>
      </c>
      <c r="D4" s="28" t="s">
        <v>8</v>
      </c>
      <c r="E4" s="28" t="s">
        <v>266</v>
      </c>
    </row>
    <row r="5" customFormat="false" ht="15" hidden="false" customHeight="false" outlineLevel="0" collapsed="false">
      <c r="A5" s="6" t="s">
        <v>352</v>
      </c>
      <c r="B5" s="6" t="s">
        <v>247</v>
      </c>
      <c r="C5" s="7" t="n">
        <f aca="false">'Industry Boxes'!E16</f>
        <v>524.333333333333</v>
      </c>
      <c r="D5" s="7" t="n">
        <f aca="false">'Industry Boxes'!E18</f>
        <v>999</v>
      </c>
      <c r="E5" s="29" t="n">
        <f aca="false">'Industry Boxes'!E19</f>
        <v>0.475141808475142</v>
      </c>
    </row>
    <row r="6" customFormat="false" ht="15" hidden="false" customHeight="false" outlineLevel="0" collapsed="false">
      <c r="A6" s="11" t="s">
        <v>352</v>
      </c>
      <c r="B6" s="11" t="s">
        <v>267</v>
      </c>
      <c r="C6" s="12" t="n">
        <f aca="false">'Industry Boxes'!E32</f>
        <v>936</v>
      </c>
      <c r="D6" s="12" t="n">
        <f aca="false">'Industry Boxes'!E34</f>
        <v>1849</v>
      </c>
      <c r="E6" s="30" t="n">
        <f aca="false">'Industry Boxes'!E35</f>
        <v>0.493780421849648</v>
      </c>
    </row>
    <row r="7" customFormat="false" ht="15" hidden="false" customHeight="false" outlineLevel="0" collapsed="false">
      <c r="A7" s="6" t="s">
        <v>352</v>
      </c>
      <c r="B7" s="6" t="s">
        <v>279</v>
      </c>
      <c r="C7" s="7" t="n">
        <f aca="false">'Industry Boxes'!E48</f>
        <v>1330.16666666667</v>
      </c>
      <c r="D7" s="7" t="n">
        <f aca="false">'Industry Boxes'!E50</f>
        <v>2799</v>
      </c>
      <c r="E7" s="29" t="n">
        <f aca="false">'Industry Boxes'!E51</f>
        <v>0.524770751458854</v>
      </c>
    </row>
    <row r="8" customFormat="false" ht="15" hidden="false" customHeight="false" outlineLevel="0" collapsed="false">
      <c r="A8" s="11" t="s">
        <v>353</v>
      </c>
      <c r="B8" s="11" t="s">
        <v>292</v>
      </c>
      <c r="C8" s="12" t="n">
        <f aca="false">'Industry Boxes'!E66</f>
        <v>454.333333333333</v>
      </c>
      <c r="D8" s="12" t="n">
        <f aca="false">'Industry Boxes'!E68</f>
        <v>849</v>
      </c>
      <c r="E8" s="30" t="n">
        <f aca="false">'Industry Boxes'!E69</f>
        <v>0.464860620337652</v>
      </c>
    </row>
    <row r="9" customFormat="false" ht="15" hidden="false" customHeight="false" outlineLevel="0" collapsed="false">
      <c r="A9" s="6" t="s">
        <v>353</v>
      </c>
      <c r="B9" s="6" t="s">
        <v>300</v>
      </c>
      <c r="C9" s="7" t="n">
        <f aca="false">'Industry Boxes'!E81</f>
        <v>1039.33333333333</v>
      </c>
      <c r="D9" s="7" t="n">
        <f aca="false">'Industry Boxes'!E83</f>
        <v>2099</v>
      </c>
      <c r="E9" s="29" t="n">
        <f aca="false">'Industry Boxes'!E84</f>
        <v>0.504843576306178</v>
      </c>
    </row>
    <row r="10" customFormat="false" ht="15" hidden="false" customHeight="false" outlineLevel="0" collapsed="false">
      <c r="A10" s="11" t="s">
        <v>353</v>
      </c>
      <c r="B10" s="11" t="s">
        <v>305</v>
      </c>
      <c r="C10" s="12" t="n">
        <f aca="false">'Industry Boxes'!E98</f>
        <v>1599.33333333333</v>
      </c>
      <c r="D10" s="12" t="n">
        <f aca="false">'Industry Boxes'!E100</f>
        <v>3449</v>
      </c>
      <c r="E10" s="30" t="n">
        <f aca="false">'Industry Boxes'!E101</f>
        <v>0.536290712283754</v>
      </c>
    </row>
    <row r="11" customFormat="false" ht="15" hidden="false" customHeight="false" outlineLevel="0" collapsed="false">
      <c r="A11" s="6" t="s">
        <v>354</v>
      </c>
      <c r="B11" s="6" t="s">
        <v>315</v>
      </c>
      <c r="C11" s="7" t="n">
        <f aca="false">'Industry Boxes'!E115</f>
        <v>501</v>
      </c>
      <c r="D11" s="7" t="n">
        <f aca="false">'Industry Boxes'!E117</f>
        <v>949</v>
      </c>
      <c r="E11" s="29" t="n">
        <f aca="false">'Industry Boxes'!E118</f>
        <v>0.472075869336143</v>
      </c>
    </row>
    <row r="12" customFormat="false" ht="15" hidden="false" customHeight="false" outlineLevel="0" collapsed="false">
      <c r="A12" s="11" t="s">
        <v>354</v>
      </c>
      <c r="B12" s="11" t="s">
        <v>323</v>
      </c>
      <c r="C12" s="12" t="n">
        <f aca="false">'Industry Boxes'!E130</f>
        <v>1087.33333333333</v>
      </c>
      <c r="D12" s="12" t="n">
        <f aca="false">'Industry Boxes'!E132</f>
        <v>2099</v>
      </c>
      <c r="E12" s="30" t="n">
        <f aca="false">'Industry Boxes'!E133</f>
        <v>0.481975543909798</v>
      </c>
    </row>
    <row r="13" customFormat="false" ht="15" hidden="false" customHeight="false" outlineLevel="0" collapsed="false">
      <c r="A13" s="6" t="s">
        <v>354</v>
      </c>
      <c r="B13" s="6" t="s">
        <v>328</v>
      </c>
      <c r="C13" s="7" t="n">
        <f aca="false">'Industry Boxes'!E145</f>
        <v>1308.16666666667</v>
      </c>
      <c r="D13" s="7" t="n">
        <f aca="false">'Industry Boxes'!E147</f>
        <v>2699</v>
      </c>
      <c r="E13" s="29" t="n">
        <f aca="false">'Industry Boxes'!E148</f>
        <v>0.515314313943436</v>
      </c>
    </row>
    <row r="14" customFormat="false" ht="15" hidden="false" customHeight="false" outlineLevel="0" collapsed="false">
      <c r="A14" s="11" t="s">
        <v>355</v>
      </c>
      <c r="B14" s="11" t="s">
        <v>333</v>
      </c>
      <c r="C14" s="12" t="n">
        <f aca="false">'Industry Boxes'!E163</f>
        <v>463</v>
      </c>
      <c r="D14" s="12" t="n">
        <f aca="false">'Industry Boxes'!E165</f>
        <v>899</v>
      </c>
      <c r="E14" s="30" t="n">
        <f aca="false">'Industry Boxes'!E166</f>
        <v>0.484983314794216</v>
      </c>
    </row>
    <row r="15" customFormat="false" ht="15" hidden="false" customHeight="false" outlineLevel="0" collapsed="false">
      <c r="A15" s="6" t="s">
        <v>355</v>
      </c>
      <c r="B15" s="6" t="s">
        <v>339</v>
      </c>
      <c r="C15" s="7" t="n">
        <f aca="false">'Industry Boxes'!E178</f>
        <v>907.333333333333</v>
      </c>
      <c r="D15" s="7" t="n">
        <f aca="false">'Industry Boxes'!E180</f>
        <v>1799</v>
      </c>
      <c r="E15" s="29" t="n">
        <f aca="false">'Industry Boxes'!E181</f>
        <v>0.495645729108764</v>
      </c>
    </row>
    <row r="16" customFormat="false" ht="15" hidden="false" customHeight="false" outlineLevel="0" collapsed="false">
      <c r="A16" s="11" t="s">
        <v>355</v>
      </c>
      <c r="B16" s="11" t="s">
        <v>343</v>
      </c>
      <c r="C16" s="12" t="n">
        <f aca="false">'Industry Boxes'!E194</f>
        <v>1510.16666666667</v>
      </c>
      <c r="D16" s="12" t="n">
        <f aca="false">'Industry Boxes'!E196</f>
        <v>3149</v>
      </c>
      <c r="E16" s="30" t="n">
        <f aca="false">'Industry Boxes'!E197</f>
        <v>0.520429766063301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2026-07-10T11:39:54Z</dcterms:created>
  <dc:creator>openpyxl</dc:creator>
  <dc:description/>
  <dc:language>en-US</dc:language>
  <cp:lastModifiedBy/>
  <dcterms:modified xsi:type="dcterms:W3CDTF">2026-07-10T11:39:54Z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